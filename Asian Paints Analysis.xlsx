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5f712fc5f7271f92/ドキュメント/"/>
    </mc:Choice>
  </mc:AlternateContent>
  <xr:revisionPtr revIDLastSave="0" documentId="8_{6E1046D8-7D51-402D-BB85-FC76F5982FB2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Profit &amp; Loss" sheetId="1" r:id="rId1"/>
    <sheet name="Quarters" sheetId="3" r:id="rId2"/>
    <sheet name="Balance Sheet" sheetId="2" r:id="rId3"/>
    <sheet name="Analysis" sheetId="7" r:id="rId4"/>
    <sheet name="Cash Flow" sheetId="4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26" i="7" l="1"/>
  <c r="D26" i="7"/>
  <c r="B26" i="7"/>
  <c r="C25" i="7"/>
  <c r="D25" i="7"/>
  <c r="B25" i="7"/>
  <c r="C24" i="7"/>
  <c r="D24" i="7"/>
  <c r="B24" i="7"/>
  <c r="D23" i="7"/>
  <c r="C23" i="7"/>
  <c r="B22" i="7"/>
  <c r="C18" i="7"/>
  <c r="C22" i="7" s="1"/>
  <c r="D18" i="7"/>
  <c r="D22" i="7" s="1"/>
  <c r="B18" i="7"/>
  <c r="B10" i="7"/>
  <c r="C10" i="7"/>
  <c r="D10" i="7"/>
  <c r="D12" i="7"/>
  <c r="C12" i="7"/>
  <c r="C11" i="7"/>
  <c r="D11" i="7"/>
  <c r="B11" i="7"/>
  <c r="J6" i="1"/>
  <c r="H4" i="1"/>
  <c r="H21" i="2" s="1"/>
  <c r="C6" i="3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4" i="2"/>
  <c r="E4" i="2"/>
  <c r="E5" i="2"/>
  <c r="F4" i="2"/>
  <c r="G4" i="2"/>
  <c r="H4" i="2"/>
  <c r="I4" i="2"/>
  <c r="I5" i="2"/>
  <c r="J4" i="2"/>
  <c r="J5" i="2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H7" i="2"/>
  <c r="I7" i="2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G4" i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C13" i="1" s="1"/>
  <c r="C14" i="1" s="1"/>
  <c r="D12" i="1"/>
  <c r="E12" i="1"/>
  <c r="E23" i="2" s="1"/>
  <c r="F12" i="1"/>
  <c r="F13" i="1" s="1"/>
  <c r="F14" i="1" s="1"/>
  <c r="G12" i="1"/>
  <c r="G23" i="2" s="1"/>
  <c r="H12" i="1"/>
  <c r="I12" i="1"/>
  <c r="I13" i="1" s="1"/>
  <c r="J12" i="1"/>
  <c r="J13" i="1" s="1"/>
  <c r="J14" i="1" s="1"/>
  <c r="K12" i="1"/>
  <c r="K13" i="1" s="1"/>
  <c r="K14" i="1" s="1"/>
  <c r="C15" i="1"/>
  <c r="D15" i="1"/>
  <c r="E15" i="1"/>
  <c r="F15" i="1"/>
  <c r="G15" i="1"/>
  <c r="H15" i="1"/>
  <c r="I15" i="1"/>
  <c r="J15" i="1"/>
  <c r="K15" i="1"/>
  <c r="B15" i="1"/>
  <c r="H13" i="1"/>
  <c r="B7" i="1"/>
  <c r="B4" i="1"/>
  <c r="B20" i="2" s="1"/>
  <c r="A1" i="1"/>
  <c r="A1" i="3" s="1"/>
  <c r="E1" i="6"/>
  <c r="H1" i="1" s="1"/>
  <c r="E1" i="2"/>
  <c r="E1" i="3"/>
  <c r="H16" i="2"/>
  <c r="D16" i="2"/>
  <c r="F23" i="2"/>
  <c r="C23" i="2"/>
  <c r="K16" i="2"/>
  <c r="C16" i="2"/>
  <c r="F16" i="2"/>
  <c r="E6" i="1"/>
  <c r="E19" i="1"/>
  <c r="H23" i="2"/>
  <c r="D23" i="2"/>
  <c r="I6" i="1"/>
  <c r="I19" i="1" s="1"/>
  <c r="J19" i="1"/>
  <c r="K6" i="1"/>
  <c r="K19" i="1"/>
  <c r="G6" i="1"/>
  <c r="G19" i="1" s="1"/>
  <c r="C6" i="1"/>
  <c r="C19" i="1" s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G21" i="2"/>
  <c r="F21" i="2"/>
  <c r="E21" i="2"/>
  <c r="D21" i="2"/>
  <c r="C21" i="2"/>
  <c r="B18" i="2"/>
  <c r="B21" i="2"/>
  <c r="B13" i="2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L15" i="1"/>
  <c r="B12" i="1"/>
  <c r="B13" i="1" s="1"/>
  <c r="B11" i="1"/>
  <c r="B10" i="1"/>
  <c r="B9" i="1"/>
  <c r="B8" i="1"/>
  <c r="B3" i="1"/>
  <c r="E14" i="3"/>
  <c r="I14" i="3"/>
  <c r="G14" i="3"/>
  <c r="G20" i="2"/>
  <c r="K20" i="2"/>
  <c r="D20" i="2"/>
  <c r="J20" i="2"/>
  <c r="C20" i="2"/>
  <c r="E20" i="2"/>
  <c r="L12" i="1"/>
  <c r="L13" i="1" s="1"/>
  <c r="L14" i="1" s="1"/>
  <c r="L25" i="1" s="1"/>
  <c r="L11" i="1"/>
  <c r="L10" i="1"/>
  <c r="N11" i="1" s="1"/>
  <c r="L6" i="1"/>
  <c r="L4" i="1"/>
  <c r="L23" i="1" s="1"/>
  <c r="A1" i="2"/>
  <c r="A1" i="4" s="1"/>
  <c r="H23" i="1"/>
  <c r="I23" i="1"/>
  <c r="J23" i="1"/>
  <c r="L5" i="1"/>
  <c r="C27" i="7" l="1"/>
  <c r="B27" i="7"/>
  <c r="D27" i="7"/>
  <c r="M11" i="1"/>
  <c r="L19" i="1"/>
  <c r="L24" i="1" s="1"/>
  <c r="M24" i="1" s="1"/>
  <c r="B16" i="2"/>
  <c r="B23" i="2"/>
  <c r="H14" i="1"/>
  <c r="F20" i="2"/>
  <c r="J16" i="2"/>
  <c r="G16" i="2"/>
  <c r="G24" i="2"/>
  <c r="E24" i="2"/>
  <c r="G13" i="1"/>
  <c r="G14" i="1" s="1"/>
  <c r="D13" i="1"/>
  <c r="E13" i="1" s="1"/>
  <c r="E14" i="1" s="1"/>
  <c r="J23" i="2"/>
  <c r="J24" i="2"/>
  <c r="D24" i="2"/>
  <c r="B14" i="1"/>
  <c r="D14" i="1"/>
  <c r="I16" i="2"/>
  <c r="K24" i="2"/>
  <c r="I24" i="2"/>
  <c r="K23" i="2"/>
  <c r="I14" i="1"/>
  <c r="K25" i="1" s="1"/>
  <c r="M25" i="1" s="1"/>
  <c r="M14" i="1" s="1"/>
  <c r="C24" i="2"/>
  <c r="I23" i="2"/>
  <c r="H24" i="2"/>
  <c r="F24" i="2"/>
  <c r="J25" i="1"/>
  <c r="M9" i="1"/>
  <c r="N9" i="1"/>
  <c r="N8" i="1"/>
  <c r="M8" i="1"/>
  <c r="I20" i="2"/>
  <c r="H20" i="2"/>
  <c r="K23" i="1"/>
  <c r="M23" i="1" s="1"/>
  <c r="M4" i="1" s="1"/>
  <c r="H6" i="1"/>
  <c r="H19" i="1" s="1"/>
  <c r="J24" i="1" s="1"/>
  <c r="F6" i="1"/>
  <c r="F19" i="1" s="1"/>
  <c r="H24" i="1" s="1"/>
  <c r="E1" i="4"/>
  <c r="H25" i="1" l="1"/>
  <c r="I25" i="1"/>
  <c r="N23" i="1"/>
  <c r="N4" i="1" s="1"/>
  <c r="I24" i="1"/>
  <c r="N24" i="1" s="1"/>
  <c r="M6" i="1"/>
  <c r="M10" i="1" s="1"/>
  <c r="M12" i="1" s="1"/>
  <c r="M13" i="1" s="1"/>
  <c r="M15" i="1" s="1"/>
  <c r="N6" i="1" l="1"/>
  <c r="N25" i="1"/>
  <c r="N14" i="1" s="1"/>
  <c r="M5" i="1"/>
  <c r="N10" i="1" l="1"/>
  <c r="N12" i="1" s="1"/>
  <c r="N13" i="1" s="1"/>
  <c r="N15" i="1" s="1"/>
  <c r="N5" i="1"/>
</calcChain>
</file>

<file path=xl/sharedStrings.xml><?xml version="1.0" encoding="utf-8"?>
<sst xmlns="http://schemas.openxmlformats.org/spreadsheetml/2006/main" count="170" uniqueCount="118">
  <si>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</si>
  <si>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</si>
  <si>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</si>
  <si>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</si>
  <si>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</si>
  <si>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</si>
  <si>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</si>
  <si>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</si>
  <si>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</si>
  <si>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</si>
  <si>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</si>
  <si>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</si>
  <si>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</si>
  <si>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</si>
  <si>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</si>
  <si>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</si>
  <si>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</si>
  <si>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</si>
  <si>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</si>
  <si>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</si>
  <si>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</si>
  <si>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</si>
  <si>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</si>
  <si>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</si>
  <si>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</si>
  <si>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</si>
  <si>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</si>
  <si>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</si>
  <si>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</si>
  <si>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</si>
  <si>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</si>
  <si>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</si>
  <si>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</si>
  <si>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</si>
  <si>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</si>
  <si>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</si>
  <si>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</si>
  <si>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</si>
  <si>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</si>
  <si>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</si>
  <si>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</si>
  <si>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</si>
  <si>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</si>
  <si>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</si>
  <si>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</si>
  <si>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</si>
  <si>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</si>
  <si>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</si>
  <si>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EPS</t>
  </si>
  <si>
    <t>Price</t>
  </si>
  <si>
    <t>Return on Equity</t>
  </si>
  <si>
    <t>Return on Capital Emp</t>
  </si>
  <si>
    <t>LATEST VERSION</t>
  </si>
  <si>
    <t>CURRENT VERSION</t>
  </si>
  <si>
    <t>ASIAN PAINTS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</si>
  <si>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</si>
  <si>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</si>
  <si>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</si>
  <si>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</si>
  <si>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</si>
  <si>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</si>
  <si>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</si>
  <si>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</si>
  <si>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</si>
  <si>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</si>
  <si>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</si>
  <si>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</si>
  <si>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</si>
  <si>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</si>
  <si>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</si>
  <si>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</si>
  <si>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</si>
  <si>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</si>
  <si>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</si>
  <si>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</si>
  <si>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</si>
  <si>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</si>
  <si>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</si>
  <si>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</si>
  <si>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</si>
  <si>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</si>
  <si>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ASIAN PAINTS ANALYSIS (₹ CRORE )</t>
  </si>
  <si>
    <t>ITEMS</t>
  </si>
  <si>
    <t>SALES</t>
  </si>
  <si>
    <t>OPERATING PROFIT</t>
  </si>
  <si>
    <t>NET PROFIT</t>
  </si>
  <si>
    <t>RATIOS</t>
  </si>
  <si>
    <t>OPERATING MARGIN</t>
  </si>
  <si>
    <t>NET PROFIT MARGIN</t>
  </si>
  <si>
    <t>SALES GROWTH</t>
  </si>
  <si>
    <t>FROM BALANCE SHEET</t>
  </si>
  <si>
    <t>BORROWINGS</t>
  </si>
  <si>
    <t>EQUITY SHARE CAPITAL</t>
  </si>
  <si>
    <t>RESERVES</t>
  </si>
  <si>
    <t>TOTAL EQUITY</t>
  </si>
  <si>
    <t>MORE  RATIOS</t>
  </si>
  <si>
    <t>DEBT- TO- EQUITY</t>
  </si>
  <si>
    <t>RETURN ON EQUITY</t>
  </si>
  <si>
    <t>ANALYSIS: WHAT THE NUMBERS SHOW (MAR-24 TO MAR-26)</t>
  </si>
  <si>
    <t>TO CHECK NEXT: Why did Mar-25 sales and margins fall? Read the annual report for the reason.</t>
  </si>
  <si>
    <t>Mar-24</t>
  </si>
  <si>
    <t>Mar-25</t>
  </si>
  <si>
    <t>Mar-26</t>
  </si>
  <si>
    <t>NET PROFIT GROWTH</t>
  </si>
  <si>
    <t>ASSET TURNOVER</t>
  </si>
  <si>
    <t>INTEREST COVERAGE</t>
  </si>
  <si>
    <t>TOTAL ASSET</t>
  </si>
  <si>
    <t>INTEREST</t>
  </si>
  <si>
    <r>
      <rPr>
        <b/>
        <sz val="11"/>
        <color theme="1"/>
        <rFont val="Calibri"/>
        <family val="2"/>
        <scheme val="minor"/>
      </rPr>
      <t>1. SALES:</t>
    </r>
    <r>
      <rPr>
        <sz val="11"/>
        <color theme="1"/>
        <rFont val="Calibri"/>
        <family val="2"/>
        <scheme val="minor"/>
      </rPr>
      <t xml:space="preserve"> Sales fell 4.48% in Mar-25 (35,495 to 33,906 crore), then grew 4.95% in Mar-26 to 35,584 crore.</t>
    </r>
  </si>
  <si>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. </t>
    </r>
    <r>
      <rPr>
        <b/>
        <sz val="11"/>
        <color theme="1"/>
        <rFont val="Calibri"/>
        <family val="2"/>
        <scheme val="minor"/>
      </rPr>
      <t xml:space="preserve">MARGINS: </t>
    </r>
    <r>
      <rPr>
        <sz val="11"/>
        <color theme="1"/>
        <rFont val="Calibri"/>
        <family val="2"/>
        <scheme val="minor"/>
      </rPr>
      <t>Operating margin fell from 21.37% to 17.71% in Mar-25 and recovered to 18.83% in Mar-26. Net profit margin moved 15.38%, 10.82%, 12.16%.</t>
    </r>
  </si>
  <si>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. </t>
    </r>
    <r>
      <rPr>
        <b/>
        <sz val="11"/>
        <color theme="1"/>
        <rFont val="Calibri"/>
        <family val="2"/>
        <scheme val="minor"/>
      </rPr>
      <t>PROFIT:</t>
    </r>
    <r>
      <rPr>
        <sz val="11"/>
        <color theme="1"/>
        <rFont val="Calibri"/>
        <family val="2"/>
        <scheme val="minor"/>
      </rPr>
      <t xml:space="preserve"> Net profit dropped from 5,460 to 3,667 crore in Mar-25 and rose to 4,325 crore in Mar-26, still below Mar-24.</t>
    </r>
  </si>
  <si>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. </t>
    </r>
    <r>
      <rPr>
        <b/>
        <sz val="11"/>
        <color theme="1"/>
        <rFont val="Calibri"/>
        <family val="2"/>
        <scheme val="minor"/>
      </rPr>
      <t>DEBT:</t>
    </r>
    <r>
      <rPr>
        <sz val="11"/>
        <color theme="1"/>
        <rFont val="Calibri"/>
        <family val="2"/>
        <scheme val="minor"/>
      </rPr>
      <t xml:space="preserve"> Debt-to-equity is low (0.13, 0.12, 0.18). Borrowings rose from 2,290 to 3,929 crore in Mar-26, so debt is increasing.</t>
    </r>
  </si>
  <si>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. </t>
    </r>
    <r>
      <rPr>
        <b/>
        <sz val="11"/>
        <color theme="1"/>
        <rFont val="Calibri"/>
        <family val="2"/>
        <scheme val="minor"/>
      </rPr>
      <t>RETURN:</t>
    </r>
    <r>
      <rPr>
        <sz val="11"/>
        <color theme="1"/>
        <rFont val="Calibri"/>
        <family val="2"/>
        <scheme val="minor"/>
      </rPr>
      <t xml:space="preserve"> ROE fell from 29.15% to 18.90% and recovered to 20.24%. Mar-24 was the best year.</t>
    </r>
  </si>
  <si>
    <r>
      <rPr>
        <b/>
        <sz val="11"/>
        <color theme="1"/>
        <rFont val="Calibri"/>
        <family val="2"/>
        <scheme val="minor"/>
      </rPr>
      <t>CONCLUSION:</t>
    </r>
    <r>
      <rPr>
        <sz val="11"/>
        <color theme="1"/>
        <rFont val="Calibri"/>
        <family val="2"/>
        <scheme val="minor"/>
      </rPr>
      <t xml:space="preserve"> Asian Paints is a low-debt, profitable company. Mar-25 was weak, Mar-26 shows recovery but has not reached Mar-24 levels.</t>
    </r>
  </si>
  <si>
    <t xml:space="preserve"> </t>
  </si>
  <si>
    <t>RETURN ON ASSET %</t>
  </si>
  <si>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. </t>
    </r>
    <r>
      <rPr>
        <b/>
        <sz val="11"/>
        <color theme="1"/>
        <rFont val="Calibri"/>
        <family val="2"/>
        <scheme val="minor"/>
      </rPr>
      <t xml:space="preserve">ASSETS: </t>
    </r>
    <r>
      <rPr>
        <sz val="11"/>
        <color theme="1"/>
        <rFont val="Calibri"/>
        <family val="2"/>
        <scheme val="minor"/>
      </rPr>
      <t>Return on assets fell from 18.26% to 12.08%. Asset turnover fell from 1.19 t 1.03.</t>
    </r>
  </si>
  <si>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.</t>
    </r>
    <r>
      <rPr>
        <b/>
        <sz val="11"/>
        <color theme="1"/>
        <rFont val="Calibri"/>
        <family val="2"/>
        <scheme val="minor"/>
      </rPr>
      <t xml:space="preserve"> SAFETY:</t>
    </r>
    <r>
      <rPr>
        <sz val="11"/>
        <color theme="1"/>
        <rFont val="Calibri"/>
        <family val="2"/>
        <scheme val="minor"/>
      </rPr>
      <t xml:space="preserve"> Interest coverage ratio is high (36.97, 26.46,34.29), so profit easily pays the interest.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</si>
</sst>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* #,##0.00_);_(* \(#,##0.00\);_(* &quot;-&quot;??_);_(@_)"/>
    <numFmt numFmtId="165" formatCode="[$-409]mmm\-yy;@"/>
    <numFmt numFmtId="166" formatCode="_ [$₹-4009]\ * #,##0.00_ ;_ [$₹-4009]\ * \-#,##0.00_ ;_ [$₹-4009]\ * &quot;-&quot;??_ ;_ @_ 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</borders>
  <cellStyleXfs count="8">
    <xf numFmtId="0" fontId="0" fillId="0" borderId="0"/>
    <xf numFmtId="43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47">
    <xf numFmtId="0" fontId="0" fillId="0" borderId="0" xfId="0"/>
    <xf numFmtId="43" fontId="1" fillId="0" borderId="0" xfId="1" applyFont="1" applyBorder="1"/>
    <xf numFmtId="0" fontId="1" fillId="0" borderId="0" xfId="0" applyFont="1"/>
    <xf numFmtId="0" fontId="6" fillId="0" borderId="0" xfId="0" applyFont="1"/>
    <xf numFmtId="43" fontId="0" fillId="0" borderId="0" xfId="1" applyFont="1" applyBorder="1"/>
    <xf numFmtId="10" fontId="0" fillId="0" borderId="0" xfId="0" applyNumberFormat="1"/>
    <xf numFmtId="43" fontId="3" fillId="0" borderId="0" xfId="1" applyFont="1" applyBorder="1"/>
    <xf numFmtId="9" fontId="3" fillId="0" borderId="0" xfId="1" applyNumberFormat="1" applyFont="1" applyBorder="1"/>
    <xf numFmtId="43" fontId="2" fillId="2" borderId="0" xfId="3" applyNumberFormat="1" applyFont="1" applyBorder="1"/>
    <xf numFmtId="43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/>
    <xf numFmtId="165" fontId="2" fillId="5" borderId="0" xfId="0" applyNumberFormat="1" applyFont="1" applyFill="1" applyAlignment="1">
      <alignment horizontal="center"/>
    </xf>
    <xf numFmtId="0" fontId="2" fillId="5" borderId="0" xfId="0" applyFont="1" applyFill="1" applyAlignment="1">
      <alignment horizontal="center"/>
    </xf>
    <xf numFmtId="43" fontId="0" fillId="0" borderId="0" xfId="1" applyFont="1" applyBorder="1" applyAlignment="1">
      <alignment horizontal="center"/>
    </xf>
    <xf numFmtId="43" fontId="1" fillId="0" borderId="0" xfId="1" applyFont="1" applyBorder="1" applyAlignment="1">
      <alignment horizontal="center"/>
    </xf>
    <xf numFmtId="10" fontId="1" fillId="0" borderId="0" xfId="0" applyNumberFormat="1" applyFont="1"/>
    <xf numFmtId="165" fontId="2" fillId="5" borderId="0" xfId="1" applyNumberFormat="1" applyFont="1" applyFill="1" applyBorder="1"/>
    <xf numFmtId="165" fontId="7" fillId="0" borderId="0" xfId="1" applyNumberFormat="1" applyFont="1" applyFill="1" applyBorder="1"/>
    <xf numFmtId="0" fontId="7" fillId="0" borderId="0" xfId="0" applyFont="1"/>
    <xf numFmtId="164" fontId="0" fillId="0" borderId="0" xfId="1" applyNumberFormat="1" applyFont="1" applyBorder="1"/>
    <xf numFmtId="166" fontId="0" fillId="0" borderId="0" xfId="0" applyNumberFormat="1"/>
    <xf numFmtId="0" fontId="1" fillId="6" borderId="0" xfId="0" applyFont="1" applyFill="1"/>
    <xf numFmtId="10" fontId="1" fillId="6" borderId="0" xfId="6" applyNumberFormat="1" applyFont="1" applyFill="1" applyBorder="1"/>
    <xf numFmtId="43" fontId="1" fillId="0" borderId="0" xfId="1" applyFont="1" applyFill="1" applyBorder="1"/>
    <xf numFmtId="0" fontId="1" fillId="6" borderId="4" xfId="0" applyFont="1" applyFill="1" applyBorder="1"/>
    <xf numFmtId="0" fontId="1" fillId="6" borderId="5" xfId="0" applyFont="1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6" borderId="0" xfId="0" applyFill="1"/>
    <xf numFmtId="0" fontId="0" fillId="6" borderId="8" xfId="0" applyFill="1" applyBorder="1"/>
    <xf numFmtId="0" fontId="0" fillId="6" borderId="9" xfId="0" applyFill="1" applyBorder="1"/>
    <xf numFmtId="0" fontId="0" fillId="6" borderId="10" xfId="0" applyFill="1" applyBorder="1"/>
    <xf numFmtId="0" fontId="0" fillId="6" borderId="11" xfId="0" applyFill="1" applyBorder="1"/>
    <xf numFmtId="17" fontId="1" fillId="6" borderId="0" xfId="0" applyNumberFormat="1" applyFont="1" applyFill="1"/>
    <xf numFmtId="44" fontId="0" fillId="6" borderId="0" xfId="7" applyFont="1" applyFill="1" applyBorder="1"/>
    <xf numFmtId="44" fontId="3" fillId="6" borderId="0" xfId="7" applyFont="1" applyFill="1" applyBorder="1"/>
    <xf numFmtId="43" fontId="1" fillId="6" borderId="0" xfId="1" applyFont="1" applyFill="1" applyBorder="1"/>
    <xf numFmtId="0" fontId="1" fillId="6" borderId="1" xfId="0" applyFont="1" applyFill="1" applyBorder="1"/>
    <xf numFmtId="0" fontId="1" fillId="6" borderId="2" xfId="0" applyFont="1" applyFill="1" applyBorder="1"/>
    <xf numFmtId="0" fontId="1" fillId="6" borderId="3" xfId="0" applyFont="1" applyFill="1" applyBorder="1"/>
    <xf numFmtId="0" fontId="8" fillId="0" borderId="12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43" fontId="4" fillId="0" borderId="0" xfId="2" applyNumberFormat="1" applyBorder="1" applyAlignment="1" applyProtection="1">
      <alignment horizontal="center"/>
    </xf>
    <xf numFmtId="43" fontId="2" fillId="4" borderId="0" xfId="5" applyNumberFormat="1" applyFont="1" applyBorder="1" applyAlignment="1">
      <alignment horizontal="center"/>
    </xf>
    <xf numFmtId="0" fontId="0" fillId="6" borderId="7" xfId="0" applyFont="1" applyFill="1" applyBorder="1"/>
  </cellXfs>
  <cellStyles count="8">
    <cellStyle name="60% - Accent1" xfId="3" builtinId="32"/>
    <cellStyle name="60% - Accent3" xfId="4" builtinId="40"/>
    <cellStyle name="Accent6" xfId="5" builtinId="49"/>
    <cellStyle name="Comma" xfId="1" builtinId="3"/>
    <cellStyle name="Currency" xfId="7" builtinId="4"/>
    <cellStyle name="Hyperlink" xfId="2" builtinId="8"/>
    <cellStyle name="Normal" xfId="0" builtinId="0"/>
    <cellStyle name="Percent" xfId="6" builtinId="5"/>
  </cellStyles>
  <dxfs count="38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>
          <fgColor indexed="64"/>
          <bgColor theme="0"/>
        </patternFill>
      </fill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2" formatCode="mmm/yy"/>
      <fill>
        <patternFill>
          <fgColor indexed="64"/>
          <bgColor theme="0"/>
        </patternFill>
      </fill>
    </dxf>
  </dxfs>
  <tableStyles count="1" defaultTableStyle="TableStyleMedium9" defaultPivotStyle="PivotStyleLight16">
    <tableStyle name="Table Style 1" pivot="0" count="0" xr9:uid="{2E0A99CD-3DF1-42C2-BBC2-5BEE4491AC2A}"/>
  </tableStyles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D5ECD17-B561-4986-9E1B-1880FDB30FA9}" name="Table3" displayName="Table3" ref="A3:D27" totalsRowShown="0" headerRowDxfId="37" dataDxfId="36" tableBorderDxfId="35">
  <autoFilter ref="A3:D27" xr:uid="{ED5ECD17-B561-4986-9E1B-1880FDB30FA9}"/>
  <tableColumns count="4">
    <tableColumn id="1" xr3:uid="{A172EDD6-7539-4026-B2A2-50C627CE2A9F}" name="ITEMS" dataDxfId="34"/>
    <tableColumn id="2" xr3:uid="{7F60E69D-81DE-4786-BD37-60DB64867C25}" name="Mar-24" dataDxfId="33"/>
    <tableColumn id="3" xr3:uid="{BA812C55-4F14-4294-A18B-D0478A9D728D}" name="Mar-25" dataDxfId="32"/>
    <tableColumn id="4" xr3:uid="{F75427B6-E48C-4111-A776-0B64C5A3F0AB}" name="Mar-26" dataDxfId="31"/>
  </tableColumns>
  <tableStyleInfo name="TableStyleLight16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9A92EB3-0C03-43F9-8348-B03DB00B0599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e2ea6395-eb78-40c5-b3b1-38d1378a7eac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zoomScale="120" zoomScaleNormal="120" zoomScaleSheetLayoutView="100" zoomScalePageLayoutView="120" workbookViewId="0">
      <pane xSplit="1" ySplit="4" topLeftCell="I5" activePane="bottomRight" state="frozen"/>
      <selection activeCell="I2" sqref="I2"/>
      <selection pane="topRight" activeCell="I2" sqref="I2"/>
      <selection pane="bottomLeft" activeCell="I2" sqref="I2"/>
      <selection pane="bottomRight" activeCell="A9" sqref="A9"/>
    </sheetView>
  </sheetViews>
  <sheetFormatPr defaultColWidth="8.85546875" defaultRowHeight="15" x14ac:dyDescent="0.25"/>
  <cols>
    <col min="1" max="1" width="20.7109375" customWidth="1"/>
    <col min="2" max="6" width="13.42578125" customWidth="1"/>
    <col min="7" max="7" width="14.85546875" bestFit="1" customWidth="1"/>
    <col min="8" max="11" width="13.42578125" customWidth="1"/>
    <col min="12" max="12" width="13.28515625" customWidth="1"/>
    <col min="13" max="14" width="12.140625" customWidth="1"/>
  </cols>
  <sheetData>
    <row r="1" spans="1:14" s="2" customFormat="1" x14ac:dyDescent="0.25">
      <c r="A1" s="2" t="str">
        <f>'Data Sheet'!B1</f>
        <v>ASIAN PAINTS LTD</v>
      </c>
      <c r="H1" t="str">
        <f>UPDATE</f>
        <v/>
      </c>
      <c r="J1" s="3"/>
      <c r="K1" s="3"/>
      <c r="M1" s="2" t="s">
        <v>1</v>
      </c>
    </row>
    <row r="3" spans="1:14" s="2" customFormat="1" x14ac:dyDescent="0.25">
      <c r="A3" s="11" t="s">
        <v>2</v>
      </c>
      <c r="B3" s="12">
        <f>'Data Sheet'!B16</f>
        <v>42825</v>
      </c>
      <c r="C3" s="12">
        <f>'Data Sheet'!C16</f>
        <v>43190</v>
      </c>
      <c r="D3" s="12">
        <f>'Data Sheet'!D16</f>
        <v>43555</v>
      </c>
      <c r="E3" s="12">
        <f>'Data Sheet'!E16</f>
        <v>43921</v>
      </c>
      <c r="F3" s="12">
        <f>'Data Sheet'!F16</f>
        <v>44286</v>
      </c>
      <c r="G3" s="12">
        <f>'Data Sheet'!G16</f>
        <v>44651</v>
      </c>
      <c r="H3" s="12">
        <f>'Data Sheet'!H16</f>
        <v>45016</v>
      </c>
      <c r="I3" s="12">
        <f>'Data Sheet'!I16</f>
        <v>45382</v>
      </c>
      <c r="J3" s="12">
        <f>'Data Sheet'!J16</f>
        <v>45747</v>
      </c>
      <c r="K3" s="12">
        <f>'Data Sheet'!K16</f>
        <v>46112</v>
      </c>
      <c r="L3" s="13" t="s">
        <v>3</v>
      </c>
      <c r="M3" s="13" t="s">
        <v>4</v>
      </c>
      <c r="N3" s="13" t="s">
        <v>5</v>
      </c>
    </row>
    <row r="4" spans="1:14" s="2" customFormat="1" x14ac:dyDescent="0.25">
      <c r="A4" s="2" t="s">
        <v>6</v>
      </c>
      <c r="B4" s="15">
        <f>'Data Sheet'!B17</f>
        <v>15061.99</v>
      </c>
      <c r="C4" s="1">
        <f>'Data Sheet'!C17</f>
        <v>16824.55</v>
      </c>
      <c r="D4" s="1">
        <f>'Data Sheet'!D17</f>
        <v>19240.13</v>
      </c>
      <c r="E4" s="1">
        <f>'Data Sheet'!E17</f>
        <v>20211.25</v>
      </c>
      <c r="F4" s="1">
        <f>'Data Sheet'!F17</f>
        <v>21712.79</v>
      </c>
      <c r="G4" s="1">
        <f>'Data Sheet'!G17</f>
        <v>29101.279999999999</v>
      </c>
      <c r="H4" s="1">
        <f>'Data Sheet'!H17</f>
        <v>34488.589999999997</v>
      </c>
      <c r="I4" s="1">
        <f>'Data Sheet'!I17</f>
        <v>35494.730000000003</v>
      </c>
      <c r="J4" s="1">
        <f>'Data Sheet'!J17</f>
        <v>33905.620000000003</v>
      </c>
      <c r="K4" s="1">
        <f>'Data Sheet'!K17</f>
        <v>35583.54</v>
      </c>
      <c r="L4" s="1">
        <f>SUM(Quarters!H4:K4)</f>
        <v>37186.93</v>
      </c>
      <c r="M4" s="1">
        <f>$K4+M23*K4</f>
        <v>37344.4968395092</v>
      </c>
      <c r="N4" s="1">
        <f>$K4+N23*L4</f>
        <v>35972.986349145991</v>
      </c>
    </row>
    <row r="5" spans="1:14" x14ac:dyDescent="0.25">
      <c r="A5" t="s">
        <v>7</v>
      </c>
      <c r="B5" s="6">
        <f>SUM('Data Sheet'!B18,'Data Sheet'!B20:B24, -1*'Data Sheet'!B19)</f>
        <v>12068.23</v>
      </c>
      <c r="C5" s="6">
        <f>SUM('Data Sheet'!C18,'Data Sheet'!C20:C24, -1*'Data Sheet'!C19)</f>
        <v>13620.539999999999</v>
      </c>
      <c r="D5" s="6">
        <f>SUM('Data Sheet'!D18,'Data Sheet'!D20:D24, -1*'Data Sheet'!D19)</f>
        <v>15475.189999999999</v>
      </c>
      <c r="E5" s="6">
        <f>SUM('Data Sheet'!E18,'Data Sheet'!E20:E24, -1*'Data Sheet'!E19)</f>
        <v>16049.480000000003</v>
      </c>
      <c r="F5" s="6">
        <f>SUM('Data Sheet'!F18,'Data Sheet'!F20:F24, -1*'Data Sheet'!F19)</f>
        <v>16857.189999999999</v>
      </c>
      <c r="G5" s="6">
        <f>SUM('Data Sheet'!G18,'Data Sheet'!G20:G24, -1*'Data Sheet'!G19)</f>
        <v>24297.67</v>
      </c>
      <c r="H5" s="6">
        <f>SUM('Data Sheet'!H18,'Data Sheet'!H20:H24, -1*'Data Sheet'!H19)</f>
        <v>28228.75</v>
      </c>
      <c r="I5" s="6">
        <f>SUM('Data Sheet'!I18,'Data Sheet'!I20:I24, -1*'Data Sheet'!I19)</f>
        <v>27909.750000000004</v>
      </c>
      <c r="J5" s="6">
        <f>SUM('Data Sheet'!J18,'Data Sheet'!J20:J24, -1*'Data Sheet'!J19)</f>
        <v>27899.41</v>
      </c>
      <c r="K5" s="6">
        <f>SUM('Data Sheet'!K18,'Data Sheet'!K20:K24, -1*'Data Sheet'!K19)</f>
        <v>28883.809999999998</v>
      </c>
      <c r="L5" s="6">
        <f>SUM(Quarters!H5:K5)</f>
        <v>29947.22</v>
      </c>
      <c r="M5" s="6">
        <f t="shared" ref="M5:N5" si="0">M4-M6</f>
        <v>30074.111055741538</v>
      </c>
      <c r="N5" s="6">
        <f t="shared" si="0"/>
        <v>29282.085440273382</v>
      </c>
    </row>
    <row r="6" spans="1:14" s="2" customFormat="1" x14ac:dyDescent="0.25">
      <c r="A6" s="2" t="s">
        <v>8</v>
      </c>
      <c r="B6" s="1">
        <f>B4-B5</f>
        <v>2993.76</v>
      </c>
      <c r="C6" s="1">
        <f t="shared" ref="C6:K6" si="1">C4-C5</f>
        <v>3204.01</v>
      </c>
      <c r="D6" s="1">
        <f t="shared" si="1"/>
        <v>3764.9400000000023</v>
      </c>
      <c r="E6" s="1">
        <f t="shared" si="1"/>
        <v>4161.7699999999968</v>
      </c>
      <c r="F6" s="1">
        <f t="shared" si="1"/>
        <v>4855.6000000000022</v>
      </c>
      <c r="G6" s="1">
        <f t="shared" si="1"/>
        <v>4803.6100000000006</v>
      </c>
      <c r="H6" s="1">
        <f t="shared" si="1"/>
        <v>6259.8399999999965</v>
      </c>
      <c r="I6" s="1">
        <f t="shared" si="1"/>
        <v>7584.98</v>
      </c>
      <c r="J6" s="1">
        <f>J4-J5</f>
        <v>6006.2100000000028</v>
      </c>
      <c r="K6" s="1">
        <f t="shared" si="1"/>
        <v>6699.7300000000032</v>
      </c>
      <c r="L6" s="1">
        <f>SUM(Quarters!H6:K6)</f>
        <v>7239.71</v>
      </c>
      <c r="M6" s="1">
        <f>M4*M24</f>
        <v>7270.3857837676615</v>
      </c>
      <c r="N6" s="1">
        <f>N4*N24</f>
        <v>6690.900908872607</v>
      </c>
    </row>
    <row r="7" spans="1:14" x14ac:dyDescent="0.25">
      <c r="A7" t="s">
        <v>9</v>
      </c>
      <c r="B7" s="6">
        <f>'Data Sheet'!B25</f>
        <v>337.9</v>
      </c>
      <c r="C7" s="6">
        <f>'Data Sheet'!C25</f>
        <v>336.41</v>
      </c>
      <c r="D7" s="6">
        <f>'Data Sheet'!D25</f>
        <v>273.77</v>
      </c>
      <c r="E7" s="6">
        <f>'Data Sheet'!E25</f>
        <v>350.1</v>
      </c>
      <c r="F7" s="6">
        <f>'Data Sheet'!F25</f>
        <v>331.65</v>
      </c>
      <c r="G7" s="6">
        <f>'Data Sheet'!G25</f>
        <v>295.88</v>
      </c>
      <c r="H7" s="6">
        <f>'Data Sheet'!H25</f>
        <v>431.46</v>
      </c>
      <c r="I7" s="6">
        <f>'Data Sheet'!I25</f>
        <v>820.96</v>
      </c>
      <c r="J7" s="6">
        <f>'Data Sheet'!J25</f>
        <v>350.22</v>
      </c>
      <c r="K7" s="6">
        <f>'Data Sheet'!K25</f>
        <v>727.97</v>
      </c>
      <c r="L7" s="6">
        <f>SUM(Quarters!H7:K7)</f>
        <v>781.68</v>
      </c>
      <c r="M7" s="6">
        <v>0</v>
      </c>
      <c r="N7" s="6">
        <v>0</v>
      </c>
    </row>
    <row r="8" spans="1:14" x14ac:dyDescent="0.25">
      <c r="A8" t="s">
        <v>10</v>
      </c>
      <c r="B8" s="6">
        <f>'Data Sheet'!B26</f>
        <v>334.79</v>
      </c>
      <c r="C8" s="6">
        <f>'Data Sheet'!C26</f>
        <v>360.47</v>
      </c>
      <c r="D8" s="6">
        <f>'Data Sheet'!D26</f>
        <v>622.14</v>
      </c>
      <c r="E8" s="6">
        <f>'Data Sheet'!E26</f>
        <v>780.5</v>
      </c>
      <c r="F8" s="6">
        <f>'Data Sheet'!F26</f>
        <v>791.27</v>
      </c>
      <c r="G8" s="6">
        <f>'Data Sheet'!G26</f>
        <v>816.36</v>
      </c>
      <c r="H8" s="6">
        <f>'Data Sheet'!H26</f>
        <v>858.02</v>
      </c>
      <c r="I8" s="6">
        <f>'Data Sheet'!I26</f>
        <v>853</v>
      </c>
      <c r="J8" s="6">
        <f>'Data Sheet'!J26</f>
        <v>1026.3399999999999</v>
      </c>
      <c r="K8" s="6">
        <f>'Data Sheet'!K26</f>
        <v>1228.8499999999999</v>
      </c>
      <c r="L8" s="6">
        <f>SUM(Quarters!H8:K8)</f>
        <v>1232.17</v>
      </c>
      <c r="M8" s="6">
        <f>+$L8</f>
        <v>1232.17</v>
      </c>
      <c r="N8" s="6">
        <f>+$L8</f>
        <v>1232.17</v>
      </c>
    </row>
    <row r="9" spans="1:14" x14ac:dyDescent="0.25">
      <c r="A9" t="s">
        <v>11</v>
      </c>
      <c r="B9" s="6">
        <f>'Data Sheet'!B27</f>
        <v>37.33</v>
      </c>
      <c r="C9" s="6">
        <f>'Data Sheet'!C27</f>
        <v>41.47</v>
      </c>
      <c r="D9" s="6">
        <f>'Data Sheet'!D27</f>
        <v>110.47</v>
      </c>
      <c r="E9" s="6">
        <f>'Data Sheet'!E27</f>
        <v>102.33</v>
      </c>
      <c r="F9" s="6">
        <f>'Data Sheet'!F27</f>
        <v>91.63</v>
      </c>
      <c r="G9" s="6">
        <f>'Data Sheet'!G27</f>
        <v>95.41</v>
      </c>
      <c r="H9" s="6">
        <f>'Data Sheet'!H27</f>
        <v>144.44999999999999</v>
      </c>
      <c r="I9" s="6">
        <f>'Data Sheet'!I27</f>
        <v>205.17</v>
      </c>
      <c r="J9" s="6">
        <f>'Data Sheet'!J27</f>
        <v>227.02</v>
      </c>
      <c r="K9" s="6">
        <f>'Data Sheet'!K27</f>
        <v>195.41</v>
      </c>
      <c r="L9" s="6">
        <f>SUM(Quarters!H9:K9)</f>
        <v>198.74</v>
      </c>
      <c r="M9" s="6">
        <f>+$L9</f>
        <v>198.74</v>
      </c>
      <c r="N9" s="6">
        <f>+$L9</f>
        <v>198.74</v>
      </c>
    </row>
    <row r="10" spans="1:14" x14ac:dyDescent="0.25">
      <c r="A10" t="s">
        <v>12</v>
      </c>
      <c r="B10" s="6">
        <f>'Data Sheet'!B28</f>
        <v>2959.54</v>
      </c>
      <c r="C10" s="6">
        <f>'Data Sheet'!C28</f>
        <v>3138.48</v>
      </c>
      <c r="D10" s="6">
        <f>'Data Sheet'!D28</f>
        <v>3306.1</v>
      </c>
      <c r="E10" s="6">
        <f>'Data Sheet'!E28</f>
        <v>3629.04</v>
      </c>
      <c r="F10" s="6">
        <f>'Data Sheet'!F28</f>
        <v>4304.3500000000004</v>
      </c>
      <c r="G10" s="6">
        <f>'Data Sheet'!G28</f>
        <v>4187.72</v>
      </c>
      <c r="H10" s="6">
        <f>'Data Sheet'!H28</f>
        <v>5688.83</v>
      </c>
      <c r="I10" s="6">
        <f>'Data Sheet'!I28</f>
        <v>7347.77</v>
      </c>
      <c r="J10" s="6">
        <f>'Data Sheet'!J28</f>
        <v>5103.07</v>
      </c>
      <c r="K10" s="6">
        <f>'Data Sheet'!K28</f>
        <v>6003.44</v>
      </c>
      <c r="L10" s="6">
        <f>SUM(Quarters!H10:K10)</f>
        <v>6590.48</v>
      </c>
      <c r="M10" s="6">
        <f>M6+M7-SUM(M8:M9)</f>
        <v>5839.4757837676616</v>
      </c>
      <c r="N10" s="6">
        <f>N6+N7-SUM(N8:N9)</f>
        <v>5259.9909088726072</v>
      </c>
    </row>
    <row r="11" spans="1:14" x14ac:dyDescent="0.25">
      <c r="A11" t="s">
        <v>13</v>
      </c>
      <c r="B11" s="6">
        <f>'Data Sheet'!B29</f>
        <v>943.29</v>
      </c>
      <c r="C11" s="6">
        <f>'Data Sheet'!C29</f>
        <v>1040.96</v>
      </c>
      <c r="D11" s="6">
        <f>'Data Sheet'!D29</f>
        <v>1098.06</v>
      </c>
      <c r="E11" s="6">
        <f>'Data Sheet'!E29</f>
        <v>854.85</v>
      </c>
      <c r="F11" s="6">
        <f>'Data Sheet'!F29</f>
        <v>1097.5999999999999</v>
      </c>
      <c r="G11" s="6">
        <f>'Data Sheet'!G29</f>
        <v>1102.9100000000001</v>
      </c>
      <c r="H11" s="6">
        <f>'Data Sheet'!H29</f>
        <v>1493.5</v>
      </c>
      <c r="I11" s="6">
        <f>'Data Sheet'!I29</f>
        <v>1790.08</v>
      </c>
      <c r="J11" s="6">
        <f>'Data Sheet'!J29</f>
        <v>1393.36</v>
      </c>
      <c r="K11" s="6">
        <f>'Data Sheet'!K29</f>
        <v>1608.75</v>
      </c>
      <c r="L11" s="6">
        <f>SUM(Quarters!H11:K11)</f>
        <v>1753.39</v>
      </c>
      <c r="M11" s="7">
        <f>IF($L10&gt;0,$L11/$L10,0)</f>
        <v>0.26604890690814631</v>
      </c>
      <c r="N11" s="7">
        <f>IF($L10&gt;0,$L11/$L10,0)</f>
        <v>0.26604890690814631</v>
      </c>
    </row>
    <row r="12" spans="1:14" s="2" customFormat="1" x14ac:dyDescent="0.25">
      <c r="A12" s="2" t="s">
        <v>14</v>
      </c>
      <c r="B12" s="1">
        <f>'Data Sheet'!B30</f>
        <v>1939.43</v>
      </c>
      <c r="C12" s="1">
        <f>'Data Sheet'!C30</f>
        <v>2038.93</v>
      </c>
      <c r="D12" s="1">
        <f>'Data Sheet'!D30</f>
        <v>2155.92</v>
      </c>
      <c r="E12" s="1">
        <f>'Data Sheet'!E30</f>
        <v>2705.17</v>
      </c>
      <c r="F12" s="1">
        <f>'Data Sheet'!F30</f>
        <v>3139.29</v>
      </c>
      <c r="G12" s="1">
        <f>'Data Sheet'!G30</f>
        <v>3030.57</v>
      </c>
      <c r="H12" s="1">
        <f>'Data Sheet'!H30</f>
        <v>4106.45</v>
      </c>
      <c r="I12" s="1">
        <f>'Data Sheet'!I30</f>
        <v>5460.23</v>
      </c>
      <c r="J12" s="1">
        <f>'Data Sheet'!J30</f>
        <v>3667.23</v>
      </c>
      <c r="K12" s="1">
        <f>'Data Sheet'!K30</f>
        <v>4325.3500000000004</v>
      </c>
      <c r="L12" s="1">
        <f>SUM(Quarters!H12:K12)</f>
        <v>4764.83</v>
      </c>
      <c r="M12" s="1">
        <f>M10-M11*M10</f>
        <v>4285.8896345796838</v>
      </c>
      <c r="N12" s="1">
        <f>N10-N11*N10</f>
        <v>3860.576077220263</v>
      </c>
    </row>
    <row r="13" spans="1:14" x14ac:dyDescent="0.25">
      <c r="A13" t="s">
        <v>48</v>
      </c>
      <c r="B13" s="6">
        <f>IF('Data Sheet'!B93&gt;0,B12/'Data Sheet'!B93,0)</f>
        <v>20.219245204336946</v>
      </c>
      <c r="C13" s="6">
        <f>IF('Data Sheet'!C93&gt;0,C12/'Data Sheet'!C93,0)</f>
        <v>21.256567973311093</v>
      </c>
      <c r="D13" s="6">
        <f>IF('Data Sheet'!D93&gt;0,D12/'Data Sheet'!D93,0)</f>
        <v>22.476230191826524</v>
      </c>
      <c r="E13" s="6">
        <f>IF('Data Sheet'!E93&gt;0,E12/'Data Sheet'!E93,0)</f>
        <v>28.202356130108424</v>
      </c>
      <c r="F13" s="6">
        <f>IF('Data Sheet'!F93&gt;0,F12/'Data Sheet'!F93,0)</f>
        <v>32.728211009174309</v>
      </c>
      <c r="G13" s="6">
        <f>IF('Data Sheet'!G93&gt;0,G12/'Data Sheet'!G93,0)</f>
        <v>31.594766472060051</v>
      </c>
      <c r="H13" s="6">
        <f>IF('Data Sheet'!H93&gt;0,H12/'Data Sheet'!H93,0)</f>
        <v>42.811196830692239</v>
      </c>
      <c r="I13" s="6">
        <f>IF('Data Sheet'!I93&gt;0,I12/'Data Sheet'!I93,0)</f>
        <v>56.924833194328599</v>
      </c>
      <c r="J13" s="6">
        <f>IF('Data Sheet'!J93&gt;0,J12/'Data Sheet'!J93,0)</f>
        <v>38.232172643869895</v>
      </c>
      <c r="K13" s="6">
        <f>IF('Data Sheet'!K93&gt;0,K12/'Data Sheet'!K93,0)</f>
        <v>45.093306922435367</v>
      </c>
      <c r="L13" s="6">
        <f>IF('Data Sheet'!$B6&gt;0,'Profit &amp; Loss'!L12/'Data Sheet'!$B6,0)</f>
        <v>49.675155734233151</v>
      </c>
      <c r="M13" s="6">
        <f>IF('Data Sheet'!$B6&gt;0,'Profit &amp; Loss'!M12/'Data Sheet'!$B6,0)</f>
        <v>44.682021196450115</v>
      </c>
      <c r="N13" s="6">
        <f>IF('Data Sheet'!$B6&gt;0,'Profit &amp; Loss'!N12/'Data Sheet'!$B6,0)</f>
        <v>40.247966424777267</v>
      </c>
    </row>
    <row r="14" spans="1:14" x14ac:dyDescent="0.25">
      <c r="A14" t="s">
        <v>16</v>
      </c>
      <c r="B14" s="6">
        <f>IF(B15&gt;0,B15/B13,"")</f>
        <v>53.092980927385881</v>
      </c>
      <c r="C14" s="6">
        <f t="shared" ref="C14:K14" si="2">IF(C15&gt;0,C15/C13,"")</f>
        <v>52.708414707714347</v>
      </c>
      <c r="D14" s="6">
        <f t="shared" si="2"/>
        <v>66.41238264870681</v>
      </c>
      <c r="E14" s="6">
        <f t="shared" si="2"/>
        <v>59.090807601740373</v>
      </c>
      <c r="F14" s="6">
        <f t="shared" si="2"/>
        <v>77.529443918847903</v>
      </c>
      <c r="G14" s="6">
        <f t="shared" si="2"/>
        <v>97.482917075005687</v>
      </c>
      <c r="H14" s="6">
        <f t="shared" si="2"/>
        <v>64.507656978655532</v>
      </c>
      <c r="I14" s="6">
        <f t="shared" si="2"/>
        <v>50.00893002675712</v>
      </c>
      <c r="J14" s="6">
        <f t="shared" si="2"/>
        <v>61.221998074841224</v>
      </c>
      <c r="K14" s="6">
        <f t="shared" si="2"/>
        <v>48.015995006184461</v>
      </c>
      <c r="L14" s="6">
        <f t="shared" ref="L14" si="3">IF(L13&gt;0,L15/L13,0)</f>
        <v>48.454805313096166</v>
      </c>
      <c r="M14" s="6">
        <f>M25</f>
        <v>51.925432105219741</v>
      </c>
      <c r="N14" s="6">
        <f>N25</f>
        <v>48.454805313096166</v>
      </c>
    </row>
    <row r="15" spans="1:14" s="2" customFormat="1" x14ac:dyDescent="0.25">
      <c r="A15" s="2" t="s">
        <v>49</v>
      </c>
      <c r="B15" s="1">
        <f>'Data Sheet'!B90</f>
        <v>1073.5</v>
      </c>
      <c r="C15" s="1">
        <f>'Data Sheet'!C90</f>
        <v>1120.4000000000001</v>
      </c>
      <c r="D15" s="1">
        <f>'Data Sheet'!D90</f>
        <v>1492.7</v>
      </c>
      <c r="E15" s="1">
        <f>'Data Sheet'!E90</f>
        <v>1666.5</v>
      </c>
      <c r="F15" s="1">
        <f>'Data Sheet'!F90</f>
        <v>2537.4</v>
      </c>
      <c r="G15" s="1">
        <f>'Data Sheet'!G90</f>
        <v>3079.95</v>
      </c>
      <c r="H15" s="1">
        <f>'Data Sheet'!H90</f>
        <v>2761.65</v>
      </c>
      <c r="I15" s="1">
        <f>'Data Sheet'!I90</f>
        <v>2846.75</v>
      </c>
      <c r="J15" s="1">
        <f>'Data Sheet'!J90</f>
        <v>2340.65</v>
      </c>
      <c r="K15" s="1">
        <f>'Data Sheet'!K90</f>
        <v>2165.1999999999998</v>
      </c>
      <c r="L15" s="1">
        <f>'Data Sheet'!B8</f>
        <v>2407</v>
      </c>
      <c r="M15" s="8">
        <f>M13*M14</f>
        <v>2320.1332579602599</v>
      </c>
      <c r="N15" s="9">
        <f>N13*N14</f>
        <v>1950.2073773606137</v>
      </c>
    </row>
    <row r="17" spans="1:14" s="2" customFormat="1" x14ac:dyDescent="0.25">
      <c r="A17" s="2" t="s">
        <v>15</v>
      </c>
    </row>
    <row r="18" spans="1:14" x14ac:dyDescent="0.25">
      <c r="A18" t="s">
        <v>17</v>
      </c>
      <c r="B18" s="5">
        <f>IF('Data Sheet'!B30&gt;0, 'Data Sheet'!B31/'Data Sheet'!B30, 0)</f>
        <v>0.50941771551435211</v>
      </c>
      <c r="C18" s="5">
        <f>IF('Data Sheet'!C30&gt;0, 'Data Sheet'!C31/'Data Sheet'!C30, 0)</f>
        <v>0.40928330055470269</v>
      </c>
      <c r="D18" s="5">
        <f>IF('Data Sheet'!D30&gt;0, 'Data Sheet'!D31/'Data Sheet'!D30, 0)</f>
        <v>0.46716019147278187</v>
      </c>
      <c r="E18" s="5">
        <f>IF('Data Sheet'!E30&gt;0, 'Data Sheet'!E31/'Data Sheet'!E30, 0)</f>
        <v>0.42549636436896754</v>
      </c>
      <c r="F18" s="5">
        <f>IF('Data Sheet'!F30&gt;0, 'Data Sheet'!F31/'Data Sheet'!F30, 0)</f>
        <v>0.54540039308251231</v>
      </c>
      <c r="G18" s="5">
        <f>IF('Data Sheet'!G30&gt;0, 'Data Sheet'!G31/'Data Sheet'!G30, 0)</f>
        <v>0.6061137013829081</v>
      </c>
      <c r="H18" s="5">
        <f>IF('Data Sheet'!H30&gt;0, 'Data Sheet'!H31/'Data Sheet'!H30, 0)</f>
        <v>0.59914281191783658</v>
      </c>
      <c r="I18" s="5">
        <f>IF('Data Sheet'!I30&gt;0, 'Data Sheet'!I31/'Data Sheet'!I30, 0)</f>
        <v>0.58498268387961683</v>
      </c>
      <c r="J18" s="5">
        <f>IF('Data Sheet'!J30&gt;0, 'Data Sheet'!J31/'Data Sheet'!J30, 0)</f>
        <v>0.64866943169640301</v>
      </c>
      <c r="K18" s="5">
        <f>IF('Data Sheet'!K30&gt;0, 'Data Sheet'!K31/'Data Sheet'!K30, 0)</f>
        <v>0.60984660200908591</v>
      </c>
    </row>
    <row r="19" spans="1:14" x14ac:dyDescent="0.25">
      <c r="A19" t="s">
        <v>18</v>
      </c>
      <c r="B19" s="5">
        <f t="shared" ref="B19:L19" si="4">IF(B6&gt;0,B6/B4,0)</f>
        <v>0.19876258050895004</v>
      </c>
      <c r="C19" s="5">
        <f t="shared" ref="C19:K19" si="5">IF(C6&gt;0,C6/C4,0)</f>
        <v>0.19043659414367697</v>
      </c>
      <c r="D19" s="5">
        <f t="shared" si="5"/>
        <v>0.19568163000977656</v>
      </c>
      <c r="E19" s="5">
        <f t="shared" si="5"/>
        <v>0.20591353825221087</v>
      </c>
      <c r="F19" s="5">
        <f t="shared" si="5"/>
        <v>0.22362856178317028</v>
      </c>
      <c r="G19" s="5">
        <f t="shared" si="5"/>
        <v>0.16506524798909192</v>
      </c>
      <c r="H19" s="5">
        <f t="shared" si="5"/>
        <v>0.18150466574597562</v>
      </c>
      <c r="I19" s="5">
        <f t="shared" si="5"/>
        <v>0.21369313134654072</v>
      </c>
      <c r="J19" s="5">
        <f t="shared" si="5"/>
        <v>0.17714496888716391</v>
      </c>
      <c r="K19" s="5">
        <f t="shared" si="5"/>
        <v>0.18828171677129377</v>
      </c>
      <c r="L19" s="5">
        <f t="shared" si="4"/>
        <v>0.19468426137893072</v>
      </c>
    </row>
    <row r="20" spans="1:14" x14ac:dyDescent="0.25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4" x14ac:dyDescent="0.25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4" s="2" customFormat="1" x14ac:dyDescent="0.25">
      <c r="A22" s="11"/>
      <c r="B22" s="12"/>
      <c r="C22" s="12"/>
      <c r="D22" s="12"/>
      <c r="E22" s="12"/>
      <c r="F22" s="12"/>
      <c r="G22" s="12" t="s">
        <v>19</v>
      </c>
      <c r="H22" s="12" t="s">
        <v>56</v>
      </c>
      <c r="I22" s="12" t="s">
        <v>57</v>
      </c>
      <c r="J22" s="12" t="s">
        <v>58</v>
      </c>
      <c r="K22" s="12" t="s">
        <v>59</v>
      </c>
      <c r="L22" s="13" t="s">
        <v>60</v>
      </c>
      <c r="M22" s="13" t="s">
        <v>20</v>
      </c>
      <c r="N22" s="13" t="s">
        <v>21</v>
      </c>
    </row>
    <row r="23" spans="1:14" s="2" customFormat="1" x14ac:dyDescent="0.25">
      <c r="A23"/>
      <c r="B23"/>
      <c r="C23"/>
      <c r="D23"/>
      <c r="E23"/>
      <c r="F23"/>
      <c r="G23" t="s">
        <v>22</v>
      </c>
      <c r="H23" s="5">
        <f>IF(B4=0,"",POWER($K4/B4,1/9)-1)</f>
        <v>0.10023434957440602</v>
      </c>
      <c r="I23" s="5">
        <f>IF(D4=0,"",POWER($K4/D4,1/7)-1)</f>
        <v>9.181419300190119E-2</v>
      </c>
      <c r="J23" s="5">
        <f>IF(F4=0,"",POWER($K4/F4,1/5)-1)</f>
        <v>0.10384146467929356</v>
      </c>
      <c r="K23" s="5">
        <f>IF(H4=0,"",POWER($K4/H4, 1/3)-1)</f>
        <v>1.047266739002084E-2</v>
      </c>
      <c r="L23" s="5">
        <f>IF(ISERROR(MAX(IF(J4=0,"",(K4-J4)/J4),IF(K4=0,"",(L4-K4)/K4))),"",MAX(IF(J4=0,"",(K4-J4)/J4),IF(K4=0,"",(L4-K4)/K4)))</f>
        <v>4.948796099289729E-2</v>
      </c>
      <c r="M23" s="16">
        <f>MAX(K23:L23)</f>
        <v>4.948796099289729E-2</v>
      </c>
      <c r="N23" s="16">
        <f>MIN(H23:L23)</f>
        <v>1.047266739002084E-2</v>
      </c>
    </row>
    <row r="24" spans="1:14" x14ac:dyDescent="0.25">
      <c r="G24" t="s">
        <v>18</v>
      </c>
      <c r="H24" s="5">
        <f>IF(SUM(B4:$K$4)=0,"",SUMPRODUCT(B19:$K$19,B4:$K$4)/SUM(B4:$K$4))</f>
        <v>0.19239198076540778</v>
      </c>
      <c r="I24" s="5">
        <f>IF(SUM(E4:$K$4)=0,"",SUMPRODUCT(E19:$K$19,E4:$K$4)/SUM(E4:$K$4))</f>
        <v>0.19179174319161527</v>
      </c>
      <c r="J24" s="5">
        <f>IF(SUM(G4:$K$4)=0,"",SUMPRODUCT(G19:$K$19,G4:$K$4)/SUM(G4:$K$4))</f>
        <v>0.18599792755408673</v>
      </c>
      <c r="K24" s="5">
        <f>IF(SUM(I4:$K$4)=0, "", SUMPRODUCT(I19:$K$19,I4:$K$4)/SUM(I4:$K$4))</f>
        <v>0.19327651128187384</v>
      </c>
      <c r="L24" s="5">
        <f>L19</f>
        <v>0.19468426137893072</v>
      </c>
      <c r="M24" s="16">
        <f>MAX(K24:L24)</f>
        <v>0.19468426137893072</v>
      </c>
      <c r="N24" s="16">
        <f>MIN(H24:L24)</f>
        <v>0.18599792755408673</v>
      </c>
    </row>
    <row r="25" spans="1:14" x14ac:dyDescent="0.25">
      <c r="G25" t="s">
        <v>23</v>
      </c>
      <c r="H25" s="6">
        <f>IF(ISERROR(AVERAGEIF(B14:$L14,"&gt;0")),"",AVERAGEIF(B14:$L14,"&gt;0"))</f>
        <v>61.684212025357766</v>
      </c>
      <c r="I25" s="6">
        <f>IF(ISERROR(AVERAGEIF(E14:$L14,"&gt;0")),"",AVERAGEIF(E14:$L14,"&gt;0"))</f>
        <v>63.289069249391062</v>
      </c>
      <c r="J25" s="6">
        <f>IF(ISERROR(AVERAGEIF(G14:$L14,"&gt;0")),"",AVERAGEIF(G14:$L14,"&gt;0"))</f>
        <v>61.615383745756709</v>
      </c>
      <c r="K25" s="6">
        <f>IF(ISERROR(AVERAGEIF(I14:$L14,"&gt;0")),"",AVERAGEIF(I14:$L14,"&gt;0"))</f>
        <v>51.925432105219741</v>
      </c>
      <c r="L25" s="6">
        <f>L14</f>
        <v>48.454805313096166</v>
      </c>
      <c r="M25" s="1">
        <f>MAX(K25:L25)</f>
        <v>51.925432105219741</v>
      </c>
      <c r="N25" s="1">
        <f>MIN(H25:L25)</f>
        <v>48.454805313096166</v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scale="67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C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85546875" defaultRowHeight="15" x14ac:dyDescent="0.25"/>
  <cols>
    <col min="1" max="1" width="20.7109375" customWidth="1"/>
    <col min="2" max="11" width="13.42578125" bestFit="1" customWidth="1"/>
  </cols>
  <sheetData>
    <row r="1" spans="1:11" s="2" customFormat="1" x14ac:dyDescent="0.25">
      <c r="A1" s="2" t="str">
        <f>'Profit &amp; Loss'!A1</f>
        <v>ASIAN PAINTS LTD</v>
      </c>
      <c r="E1" t="str">
        <f>UPDATE</f>
        <v/>
      </c>
      <c r="J1" s="2" t="s">
        <v>1</v>
      </c>
    </row>
    <row r="3" spans="1:11" s="2" customFormat="1" x14ac:dyDescent="0.25">
      <c r="A3" s="11" t="s">
        <v>2</v>
      </c>
      <c r="B3" s="12">
        <f>'Data Sheet'!B41</f>
        <v>45382</v>
      </c>
      <c r="C3" s="12">
        <f>'Data Sheet'!C41</f>
        <v>45473</v>
      </c>
      <c r="D3" s="12">
        <f>'Data Sheet'!D41</f>
        <v>45565</v>
      </c>
      <c r="E3" s="12">
        <f>'Data Sheet'!E41</f>
        <v>45657</v>
      </c>
      <c r="F3" s="12">
        <f>'Data Sheet'!F41</f>
        <v>45747</v>
      </c>
      <c r="G3" s="12">
        <f>'Data Sheet'!G41</f>
        <v>45838</v>
      </c>
      <c r="H3" s="12">
        <f>'Data Sheet'!H41</f>
        <v>45930</v>
      </c>
      <c r="I3" s="12">
        <f>'Data Sheet'!I41</f>
        <v>46022</v>
      </c>
      <c r="J3" s="12">
        <f>'Data Sheet'!J41</f>
        <v>46112</v>
      </c>
      <c r="K3" s="12">
        <f>'Data Sheet'!K41</f>
        <v>46203</v>
      </c>
    </row>
    <row r="4" spans="1:11" s="2" customFormat="1" x14ac:dyDescent="0.25">
      <c r="A4" s="2" t="s">
        <v>6</v>
      </c>
      <c r="B4" s="1">
        <f>'Data Sheet'!B42</f>
        <v>8730.76</v>
      </c>
      <c r="C4" s="1">
        <f>'Data Sheet'!C42</f>
        <v>8969.73</v>
      </c>
      <c r="D4" s="1">
        <f>'Data Sheet'!D42</f>
        <v>8027.54</v>
      </c>
      <c r="E4" s="1">
        <f>'Data Sheet'!E42</f>
        <v>8549.44</v>
      </c>
      <c r="F4" s="1">
        <f>'Data Sheet'!F42</f>
        <v>8358.91</v>
      </c>
      <c r="G4" s="1">
        <f>'Data Sheet'!G42</f>
        <v>8938.5499999999993</v>
      </c>
      <c r="H4" s="1">
        <f>'Data Sheet'!H42</f>
        <v>8531.27</v>
      </c>
      <c r="I4" s="1">
        <f>'Data Sheet'!I42</f>
        <v>8867.02</v>
      </c>
      <c r="J4" s="1">
        <f>'Data Sheet'!J42</f>
        <v>9246.7000000000007</v>
      </c>
      <c r="K4" s="1">
        <f>'Data Sheet'!K42</f>
        <v>10541.94</v>
      </c>
    </row>
    <row r="5" spans="1:11" x14ac:dyDescent="0.25">
      <c r="A5" t="s">
        <v>7</v>
      </c>
      <c r="B5" s="6">
        <f>'Data Sheet'!B43</f>
        <v>7039.39</v>
      </c>
      <c r="C5" s="6">
        <f>'Data Sheet'!C43</f>
        <v>7275.96</v>
      </c>
      <c r="D5" s="6">
        <f>'Data Sheet'!D43</f>
        <v>6788.03</v>
      </c>
      <c r="E5" s="6">
        <f>'Data Sheet'!E43</f>
        <v>6912.71</v>
      </c>
      <c r="F5" s="6">
        <f>'Data Sheet'!F43</f>
        <v>6922.71</v>
      </c>
      <c r="G5" s="6">
        <f>'Data Sheet'!G43</f>
        <v>7313.58</v>
      </c>
      <c r="H5" s="6">
        <f>'Data Sheet'!H43</f>
        <v>7027.89</v>
      </c>
      <c r="I5" s="6">
        <f>'Data Sheet'!I43</f>
        <v>7086.06</v>
      </c>
      <c r="J5" s="6">
        <f>'Data Sheet'!J43</f>
        <v>7460.09</v>
      </c>
      <c r="K5" s="6">
        <f>'Data Sheet'!K43</f>
        <v>8373.18</v>
      </c>
    </row>
    <row r="6" spans="1:11" s="2" customFormat="1" x14ac:dyDescent="0.25">
      <c r="A6" s="2" t="s">
        <v>8</v>
      </c>
      <c r="B6" s="1">
        <f>'Data Sheet'!B50</f>
        <v>1691.37</v>
      </c>
      <c r="C6" s="1">
        <f>'Data Sheet'!C50</f>
        <v>1693.77</v>
      </c>
      <c r="D6" s="1">
        <f>'Data Sheet'!D50</f>
        <v>1239.51</v>
      </c>
      <c r="E6" s="1">
        <f>'Data Sheet'!E50</f>
        <v>1636.73</v>
      </c>
      <c r="F6" s="1">
        <f>'Data Sheet'!F50</f>
        <v>1436.2</v>
      </c>
      <c r="G6" s="1">
        <f>'Data Sheet'!G50</f>
        <v>1624.97</v>
      </c>
      <c r="H6" s="1">
        <f>'Data Sheet'!H50</f>
        <v>1503.38</v>
      </c>
      <c r="I6" s="1">
        <f>'Data Sheet'!I50</f>
        <v>1780.96</v>
      </c>
      <c r="J6" s="1">
        <f>'Data Sheet'!J50</f>
        <v>1786.61</v>
      </c>
      <c r="K6" s="1">
        <f>'Data Sheet'!K50</f>
        <v>2168.7600000000002</v>
      </c>
    </row>
    <row r="7" spans="1:11" x14ac:dyDescent="0.25">
      <c r="A7" t="s">
        <v>9</v>
      </c>
      <c r="B7" s="6">
        <f>'Data Sheet'!B44</f>
        <v>212.43</v>
      </c>
      <c r="C7" s="6">
        <f>'Data Sheet'!C44</f>
        <v>192.93</v>
      </c>
      <c r="D7" s="6">
        <f>'Data Sheet'!D44</f>
        <v>24.53</v>
      </c>
      <c r="E7" s="6">
        <f>'Data Sheet'!E44</f>
        <v>192.82</v>
      </c>
      <c r="F7" s="6">
        <f>'Data Sheet'!F44</f>
        <v>-60.06</v>
      </c>
      <c r="G7" s="6">
        <f>'Data Sheet'!G44</f>
        <v>229.11</v>
      </c>
      <c r="H7" s="6">
        <f>'Data Sheet'!H44</f>
        <v>236.94</v>
      </c>
      <c r="I7" s="6">
        <f>'Data Sheet'!I44</f>
        <v>69.14</v>
      </c>
      <c r="J7" s="6">
        <f>'Data Sheet'!J44</f>
        <v>196.59</v>
      </c>
      <c r="K7" s="6">
        <f>'Data Sheet'!K44</f>
        <v>279.01</v>
      </c>
    </row>
    <row r="8" spans="1:11" x14ac:dyDescent="0.25">
      <c r="A8" t="s">
        <v>10</v>
      </c>
      <c r="B8" s="6">
        <f>'Data Sheet'!B45</f>
        <v>225.61</v>
      </c>
      <c r="C8" s="6">
        <f>'Data Sheet'!C45</f>
        <v>227.7</v>
      </c>
      <c r="D8" s="6">
        <f>'Data Sheet'!D45</f>
        <v>241.99</v>
      </c>
      <c r="E8" s="6">
        <f>'Data Sheet'!E45</f>
        <v>255.55</v>
      </c>
      <c r="F8" s="6">
        <f>'Data Sheet'!F45</f>
        <v>301.10000000000002</v>
      </c>
      <c r="G8" s="6">
        <f>'Data Sheet'!G45</f>
        <v>300.87</v>
      </c>
      <c r="H8" s="6">
        <f>'Data Sheet'!H45</f>
        <v>304.93</v>
      </c>
      <c r="I8" s="6">
        <f>'Data Sheet'!I45</f>
        <v>313.07</v>
      </c>
      <c r="J8" s="6">
        <f>'Data Sheet'!J45</f>
        <v>309.98</v>
      </c>
      <c r="K8" s="6">
        <f>'Data Sheet'!K45</f>
        <v>304.19</v>
      </c>
    </row>
    <row r="9" spans="1:11" x14ac:dyDescent="0.25">
      <c r="A9" t="s">
        <v>11</v>
      </c>
      <c r="B9" s="6">
        <f>'Data Sheet'!B46</f>
        <v>54.1</v>
      </c>
      <c r="C9" s="6">
        <f>'Data Sheet'!C46</f>
        <v>55.38</v>
      </c>
      <c r="D9" s="6">
        <f>'Data Sheet'!D46</f>
        <v>63.01</v>
      </c>
      <c r="E9" s="6">
        <f>'Data Sheet'!E46</f>
        <v>55.84</v>
      </c>
      <c r="F9" s="6">
        <f>'Data Sheet'!F46</f>
        <v>52.79</v>
      </c>
      <c r="G9" s="6">
        <f>'Data Sheet'!G46</f>
        <v>44.5</v>
      </c>
      <c r="H9" s="6">
        <f>'Data Sheet'!H46</f>
        <v>43.87</v>
      </c>
      <c r="I9" s="6">
        <f>'Data Sheet'!I46</f>
        <v>47.94</v>
      </c>
      <c r="J9" s="6">
        <f>'Data Sheet'!J46</f>
        <v>59.1</v>
      </c>
      <c r="K9" s="6">
        <f>'Data Sheet'!K46</f>
        <v>47.83</v>
      </c>
    </row>
    <row r="10" spans="1:11" x14ac:dyDescent="0.25">
      <c r="A10" t="s">
        <v>12</v>
      </c>
      <c r="B10" s="6">
        <f>'Data Sheet'!B47</f>
        <v>1624.09</v>
      </c>
      <c r="C10" s="6">
        <f>'Data Sheet'!C47</f>
        <v>1603.62</v>
      </c>
      <c r="D10" s="6">
        <f>'Data Sheet'!D47</f>
        <v>959.04</v>
      </c>
      <c r="E10" s="6">
        <f>'Data Sheet'!E47</f>
        <v>1518.16</v>
      </c>
      <c r="F10" s="6">
        <f>'Data Sheet'!F47</f>
        <v>1022.25</v>
      </c>
      <c r="G10" s="6">
        <f>'Data Sheet'!G47</f>
        <v>1508.71</v>
      </c>
      <c r="H10" s="6">
        <f>'Data Sheet'!H47</f>
        <v>1391.52</v>
      </c>
      <c r="I10" s="6">
        <f>'Data Sheet'!I47</f>
        <v>1489.09</v>
      </c>
      <c r="J10" s="6">
        <f>'Data Sheet'!J47</f>
        <v>1614.12</v>
      </c>
      <c r="K10" s="6">
        <f>'Data Sheet'!K47</f>
        <v>2095.75</v>
      </c>
    </row>
    <row r="11" spans="1:11" x14ac:dyDescent="0.25">
      <c r="A11" t="s">
        <v>13</v>
      </c>
      <c r="B11" s="6">
        <f>'Data Sheet'!B48</f>
        <v>348.79</v>
      </c>
      <c r="C11" s="6">
        <f>'Data Sheet'!C48</f>
        <v>416.83</v>
      </c>
      <c r="D11" s="6">
        <f>'Data Sheet'!D48</f>
        <v>265.38</v>
      </c>
      <c r="E11" s="6">
        <f>'Data Sheet'!E48</f>
        <v>389.73</v>
      </c>
      <c r="F11" s="6">
        <f>'Data Sheet'!F48</f>
        <v>321.42</v>
      </c>
      <c r="G11" s="6">
        <f>'Data Sheet'!G48</f>
        <v>391.66</v>
      </c>
      <c r="H11" s="6">
        <f>'Data Sheet'!H48</f>
        <v>373.29</v>
      </c>
      <c r="I11" s="6">
        <f>'Data Sheet'!I48</f>
        <v>415.17</v>
      </c>
      <c r="J11" s="6">
        <f>'Data Sheet'!J48</f>
        <v>428.63</v>
      </c>
      <c r="K11" s="6">
        <f>'Data Sheet'!K48</f>
        <v>536.29999999999995</v>
      </c>
    </row>
    <row r="12" spans="1:11" s="2" customFormat="1" x14ac:dyDescent="0.25">
      <c r="A12" s="2" t="s">
        <v>14</v>
      </c>
      <c r="B12" s="1">
        <f>'Data Sheet'!B49</f>
        <v>1256.72</v>
      </c>
      <c r="C12" s="1">
        <f>'Data Sheet'!C49</f>
        <v>1169.98</v>
      </c>
      <c r="D12" s="1">
        <f>'Data Sheet'!D49</f>
        <v>694.64</v>
      </c>
      <c r="E12" s="1">
        <f>'Data Sheet'!E49</f>
        <v>1110.48</v>
      </c>
      <c r="F12" s="1">
        <f>'Data Sheet'!F49</f>
        <v>692.13</v>
      </c>
      <c r="G12" s="1">
        <f>'Data Sheet'!G49</f>
        <v>1099.77</v>
      </c>
      <c r="H12" s="1">
        <f>'Data Sheet'!H49</f>
        <v>993.59</v>
      </c>
      <c r="I12" s="1">
        <f>'Data Sheet'!I49</f>
        <v>1059.8699999999999</v>
      </c>
      <c r="J12" s="1">
        <f>'Data Sheet'!J49</f>
        <v>1172.1199999999999</v>
      </c>
      <c r="K12" s="1">
        <f>'Data Sheet'!K49</f>
        <v>1539.25</v>
      </c>
    </row>
    <row r="14" spans="1:11" s="2" customFormat="1" x14ac:dyDescent="0.25">
      <c r="A14" s="2" t="s">
        <v>18</v>
      </c>
      <c r="B14" s="10">
        <f>IF(B4&gt;0,B6/B4,"")</f>
        <v>0.19372540305769484</v>
      </c>
      <c r="C14" s="10">
        <f t="shared" ref="C14:K14" si="0">IF(C4&gt;0,C6/C4,"")</f>
        <v>0.18883177085597894</v>
      </c>
      <c r="D14" s="10">
        <f t="shared" si="0"/>
        <v>0.15440720320297377</v>
      </c>
      <c r="E14" s="10">
        <f t="shared" si="0"/>
        <v>0.19144294831006475</v>
      </c>
      <c r="F14" s="10">
        <f t="shared" si="0"/>
        <v>0.17181666030618825</v>
      </c>
      <c r="G14" s="10">
        <f t="shared" si="0"/>
        <v>0.18179346762058726</v>
      </c>
      <c r="H14" s="10">
        <f t="shared" si="0"/>
        <v>0.17621995318399253</v>
      </c>
      <c r="I14" s="10">
        <f t="shared" si="0"/>
        <v>0.20085214649341041</v>
      </c>
      <c r="J14" s="10">
        <f t="shared" si="0"/>
        <v>0.19321595812560155</v>
      </c>
      <c r="K14" s="10">
        <f t="shared" si="0"/>
        <v>0.20572683965190469</v>
      </c>
    </row>
    <row r="22" s="19" customFormat="1" x14ac:dyDescent="0.25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4"/>
  <sheetViews>
    <sheetView zoomScale="125" workbookViewId="0">
      <pane xSplit="1" ySplit="3" topLeftCell="H4" activePane="bottomRight" state="frozen"/>
      <selection activeCell="C4" sqref="C4"/>
      <selection pane="topRight" activeCell="C4" sqref="C4"/>
      <selection pane="bottomLeft" activeCell="C4" sqref="C4"/>
      <selection pane="bottomRight" activeCell="I18" sqref="I18"/>
    </sheetView>
  </sheetViews>
  <sheetFormatPr defaultColWidth="8.85546875" defaultRowHeight="15" x14ac:dyDescent="0.25"/>
  <cols>
    <col min="1" max="1" width="22.85546875" bestFit="1" customWidth="1"/>
    <col min="2" max="2" width="13.42578125" customWidth="1"/>
    <col min="3" max="11" width="15.42578125" customWidth="1"/>
  </cols>
  <sheetData>
    <row r="1" spans="1:11" s="2" customFormat="1" x14ac:dyDescent="0.25">
      <c r="A1" s="2" t="str">
        <f>'Profit &amp; Loss'!A1</f>
        <v>ASIAN PAINTS LTD</v>
      </c>
      <c r="E1" t="str">
        <f>UPDATE</f>
        <v/>
      </c>
      <c r="G1"/>
      <c r="J1" s="2" t="s">
        <v>1</v>
      </c>
    </row>
    <row r="2" spans="1:11" x14ac:dyDescent="0.25">
      <c r="G2" s="2"/>
      <c r="H2" s="2"/>
    </row>
    <row r="3" spans="1:11" x14ac:dyDescent="0.25">
      <c r="A3" s="11" t="s">
        <v>2</v>
      </c>
      <c r="B3" s="12">
        <f>'Data Sheet'!B56</f>
        <v>42825</v>
      </c>
      <c r="C3" s="12">
        <f>'Data Sheet'!C56</f>
        <v>43190</v>
      </c>
      <c r="D3" s="12">
        <f>'Data Sheet'!D56</f>
        <v>43555</v>
      </c>
      <c r="E3" s="12">
        <f>'Data Sheet'!E56</f>
        <v>43921</v>
      </c>
      <c r="F3" s="12">
        <f>'Data Sheet'!F56</f>
        <v>44286</v>
      </c>
      <c r="G3" s="12">
        <f>'Data Sheet'!G56</f>
        <v>44651</v>
      </c>
      <c r="H3" s="12">
        <f>'Data Sheet'!H56</f>
        <v>45016</v>
      </c>
      <c r="I3" s="12">
        <f>'Data Sheet'!I56</f>
        <v>45382</v>
      </c>
      <c r="J3" s="12">
        <f>'Data Sheet'!J56</f>
        <v>45747</v>
      </c>
      <c r="K3" s="12">
        <f>'Data Sheet'!K56</f>
        <v>46112</v>
      </c>
    </row>
    <row r="4" spans="1:11" x14ac:dyDescent="0.25">
      <c r="A4" t="s">
        <v>24</v>
      </c>
      <c r="B4" s="14">
        <f>'Data Sheet'!B57</f>
        <v>95.92</v>
      </c>
      <c r="C4" s="14">
        <f>'Data Sheet'!C57</f>
        <v>95.92</v>
      </c>
      <c r="D4" s="14">
        <f>'Data Sheet'!D57</f>
        <v>95.92</v>
      </c>
      <c r="E4" s="14">
        <f>'Data Sheet'!E57</f>
        <v>95.92</v>
      </c>
      <c r="F4" s="14">
        <f>'Data Sheet'!F57</f>
        <v>95.92</v>
      </c>
      <c r="G4" s="14">
        <f>'Data Sheet'!G57</f>
        <v>95.92</v>
      </c>
      <c r="H4" s="14">
        <f>'Data Sheet'!H57</f>
        <v>95.92</v>
      </c>
      <c r="I4" s="14">
        <f>'Data Sheet'!I57</f>
        <v>95.92</v>
      </c>
      <c r="J4" s="14">
        <f>'Data Sheet'!J57</f>
        <v>95.92</v>
      </c>
      <c r="K4" s="14">
        <f>'Data Sheet'!K57</f>
        <v>95.92</v>
      </c>
    </row>
    <row r="5" spans="1:11" x14ac:dyDescent="0.25">
      <c r="A5" t="s">
        <v>25</v>
      </c>
      <c r="B5" s="14">
        <f>'Data Sheet'!B58</f>
        <v>7507.97</v>
      </c>
      <c r="C5" s="14">
        <f>'Data Sheet'!C58</f>
        <v>8314.31</v>
      </c>
      <c r="D5" s="14">
        <f>'Data Sheet'!D58</f>
        <v>9374.6299999999992</v>
      </c>
      <c r="E5" s="14">
        <f>'Data Sheet'!E58</f>
        <v>10034.24</v>
      </c>
      <c r="F5" s="14">
        <f>'Data Sheet'!F58</f>
        <v>12710.37</v>
      </c>
      <c r="G5" s="14">
        <f>'Data Sheet'!G58</f>
        <v>13715.64</v>
      </c>
      <c r="H5" s="14">
        <f>'Data Sheet'!H58</f>
        <v>15896.31</v>
      </c>
      <c r="I5" s="14">
        <f>'Data Sheet'!I58</f>
        <v>18632.38</v>
      </c>
      <c r="J5" s="14">
        <f>'Data Sheet'!J58</f>
        <v>19303.89</v>
      </c>
      <c r="K5" s="14">
        <f>'Data Sheet'!K58</f>
        <v>21275.67</v>
      </c>
    </row>
    <row r="6" spans="1:11" x14ac:dyDescent="0.25">
      <c r="A6" t="s">
        <v>62</v>
      </c>
      <c r="B6" s="14">
        <f>'Data Sheet'!B59</f>
        <v>560.34</v>
      </c>
      <c r="C6" s="14">
        <f>'Data Sheet'!C59</f>
        <v>533.42999999999995</v>
      </c>
      <c r="D6" s="14">
        <f>'Data Sheet'!D59</f>
        <v>1319.6</v>
      </c>
      <c r="E6" s="14">
        <f>'Data Sheet'!E59</f>
        <v>1118.5</v>
      </c>
      <c r="F6" s="14">
        <f>'Data Sheet'!F59</f>
        <v>1093.1199999999999</v>
      </c>
      <c r="G6" s="14">
        <f>'Data Sheet'!G59</f>
        <v>1586.88</v>
      </c>
      <c r="H6" s="14">
        <f>'Data Sheet'!H59</f>
        <v>1932.62</v>
      </c>
      <c r="I6" s="14">
        <f>'Data Sheet'!I59</f>
        <v>2474.38</v>
      </c>
      <c r="J6" s="14">
        <f>'Data Sheet'!J59</f>
        <v>2290.29</v>
      </c>
      <c r="K6" s="14">
        <f>'Data Sheet'!K59</f>
        <v>3928.93</v>
      </c>
    </row>
    <row r="7" spans="1:11" x14ac:dyDescent="0.25">
      <c r="A7" t="s">
        <v>63</v>
      </c>
      <c r="B7" s="14">
        <f>'Data Sheet'!B60</f>
        <v>4240.96</v>
      </c>
      <c r="C7" s="14">
        <f>'Data Sheet'!C60</f>
        <v>4819.82</v>
      </c>
      <c r="D7" s="14">
        <f>'Data Sheet'!D60</f>
        <v>5458.69</v>
      </c>
      <c r="E7" s="14">
        <f>'Data Sheet'!E60</f>
        <v>4889.3100000000004</v>
      </c>
      <c r="F7" s="14">
        <f>'Data Sheet'!F60</f>
        <v>6455.93</v>
      </c>
      <c r="G7" s="14">
        <f>'Data Sheet'!G60</f>
        <v>7559.99</v>
      </c>
      <c r="H7" s="14">
        <f>'Data Sheet'!H60</f>
        <v>7854.48</v>
      </c>
      <c r="I7" s="14">
        <f>'Data Sheet'!I60</f>
        <v>8698.09</v>
      </c>
      <c r="J7" s="14">
        <f>'Data Sheet'!J60</f>
        <v>8665.15</v>
      </c>
      <c r="K7" s="14">
        <f>'Data Sheet'!K60</f>
        <v>9218.23</v>
      </c>
    </row>
    <row r="8" spans="1:11" s="2" customFormat="1" x14ac:dyDescent="0.25">
      <c r="A8" s="2" t="s">
        <v>26</v>
      </c>
      <c r="B8" s="15">
        <f>'Data Sheet'!B61</f>
        <v>12405.19</v>
      </c>
      <c r="C8" s="15">
        <f>'Data Sheet'!C61</f>
        <v>13763.48</v>
      </c>
      <c r="D8" s="15">
        <f>'Data Sheet'!D61</f>
        <v>16248.84</v>
      </c>
      <c r="E8" s="15">
        <f>'Data Sheet'!E61</f>
        <v>16137.97</v>
      </c>
      <c r="F8" s="15">
        <f>'Data Sheet'!F61</f>
        <v>20355.34</v>
      </c>
      <c r="G8" s="15">
        <f>'Data Sheet'!G61</f>
        <v>22958.43</v>
      </c>
      <c r="H8" s="15">
        <f>'Data Sheet'!H61</f>
        <v>25779.33</v>
      </c>
      <c r="I8" s="15">
        <f>'Data Sheet'!I61</f>
        <v>29900.77</v>
      </c>
      <c r="J8" s="15">
        <f>'Data Sheet'!J61</f>
        <v>30355.25</v>
      </c>
      <c r="K8" s="15">
        <f>'Data Sheet'!K61</f>
        <v>34518.75</v>
      </c>
    </row>
    <row r="9" spans="1:11" s="2" customFormat="1" x14ac:dyDescent="0.25">
      <c r="B9" s="15"/>
      <c r="C9" s="15"/>
      <c r="D9" s="15"/>
      <c r="E9" s="15"/>
      <c r="F9" s="15"/>
      <c r="G9" s="15"/>
      <c r="H9" s="15"/>
      <c r="I9" s="15"/>
      <c r="J9" s="15"/>
      <c r="K9" s="15"/>
    </row>
    <row r="10" spans="1:11" x14ac:dyDescent="0.25">
      <c r="A10" t="s">
        <v>27</v>
      </c>
      <c r="B10" s="14">
        <f>'Data Sheet'!B62</f>
        <v>3303.74</v>
      </c>
      <c r="C10" s="14">
        <f>'Data Sheet'!C62</f>
        <v>3732.24</v>
      </c>
      <c r="D10" s="14">
        <f>'Data Sheet'!D62</f>
        <v>6496.56</v>
      </c>
      <c r="E10" s="14">
        <f>'Data Sheet'!E62</f>
        <v>6272.31</v>
      </c>
      <c r="F10" s="14">
        <f>'Data Sheet'!F62</f>
        <v>5858.52</v>
      </c>
      <c r="G10" s="14">
        <f>'Data Sheet'!G62</f>
        <v>5519.06</v>
      </c>
      <c r="H10" s="14">
        <f>'Data Sheet'!H62</f>
        <v>5770.46</v>
      </c>
      <c r="I10" s="14">
        <f>'Data Sheet'!I62</f>
        <v>7146.62</v>
      </c>
      <c r="J10" s="14">
        <f>'Data Sheet'!J62</f>
        <v>9220.1</v>
      </c>
      <c r="K10" s="14">
        <f>'Data Sheet'!K62</f>
        <v>9640.2800000000007</v>
      </c>
    </row>
    <row r="11" spans="1:11" x14ac:dyDescent="0.25">
      <c r="A11" t="s">
        <v>28</v>
      </c>
      <c r="B11" s="14">
        <f>'Data Sheet'!B63</f>
        <v>257.54000000000002</v>
      </c>
      <c r="C11" s="14">
        <f>'Data Sheet'!C63</f>
        <v>1405.11</v>
      </c>
      <c r="D11" s="14">
        <f>'Data Sheet'!D63</f>
        <v>209.67</v>
      </c>
      <c r="E11" s="14">
        <f>'Data Sheet'!E63</f>
        <v>140.24</v>
      </c>
      <c r="F11" s="14">
        <f>'Data Sheet'!F63</f>
        <v>182.98</v>
      </c>
      <c r="G11" s="14">
        <f>'Data Sheet'!G63</f>
        <v>426.43</v>
      </c>
      <c r="H11" s="14">
        <f>'Data Sheet'!H63</f>
        <v>1019.59</v>
      </c>
      <c r="I11" s="14">
        <f>'Data Sheet'!I63</f>
        <v>2698.37</v>
      </c>
      <c r="J11" s="14">
        <f>'Data Sheet'!J63</f>
        <v>1254.49</v>
      </c>
      <c r="K11" s="14">
        <f>'Data Sheet'!K63</f>
        <v>1848.67</v>
      </c>
    </row>
    <row r="12" spans="1:11" x14ac:dyDescent="0.25">
      <c r="A12" t="s">
        <v>29</v>
      </c>
      <c r="B12" s="14">
        <f>'Data Sheet'!B64</f>
        <v>2651.99</v>
      </c>
      <c r="C12" s="14">
        <f>'Data Sheet'!C64</f>
        <v>2140.6999999999998</v>
      </c>
      <c r="D12" s="14">
        <f>'Data Sheet'!D64</f>
        <v>2568.58</v>
      </c>
      <c r="E12" s="14">
        <f>'Data Sheet'!E64</f>
        <v>2018.85</v>
      </c>
      <c r="F12" s="14">
        <f>'Data Sheet'!F64</f>
        <v>4736.8</v>
      </c>
      <c r="G12" s="14">
        <f>'Data Sheet'!G64</f>
        <v>3247.53</v>
      </c>
      <c r="H12" s="14">
        <f>'Data Sheet'!H64</f>
        <v>4261.71</v>
      </c>
      <c r="I12" s="14">
        <f>'Data Sheet'!I64</f>
        <v>4587.92</v>
      </c>
      <c r="J12" s="14">
        <f>'Data Sheet'!J64</f>
        <v>4724.75</v>
      </c>
      <c r="K12" s="14">
        <f>'Data Sheet'!K64</f>
        <v>7061.74</v>
      </c>
    </row>
    <row r="13" spans="1:11" x14ac:dyDescent="0.25">
      <c r="A13" t="s">
        <v>64</v>
      </c>
      <c r="B13" s="14">
        <f>'Data Sheet'!B65</f>
        <v>6191.92</v>
      </c>
      <c r="C13" s="14">
        <f>'Data Sheet'!C65</f>
        <v>6485.43</v>
      </c>
      <c r="D13" s="14">
        <f>'Data Sheet'!D65</f>
        <v>6974.03</v>
      </c>
      <c r="E13" s="14">
        <f>'Data Sheet'!E65</f>
        <v>7706.57</v>
      </c>
      <c r="F13" s="14">
        <f>'Data Sheet'!F65</f>
        <v>9577.0400000000009</v>
      </c>
      <c r="G13" s="14">
        <f>'Data Sheet'!G65</f>
        <v>13765.41</v>
      </c>
      <c r="H13" s="14">
        <f>'Data Sheet'!H65</f>
        <v>14727.57</v>
      </c>
      <c r="I13" s="14">
        <f>'Data Sheet'!I65</f>
        <v>15467.86</v>
      </c>
      <c r="J13" s="14">
        <f>'Data Sheet'!J65</f>
        <v>15155.91</v>
      </c>
      <c r="K13" s="14">
        <f>'Data Sheet'!K65</f>
        <v>15968.06</v>
      </c>
    </row>
    <row r="14" spans="1:11" s="2" customFormat="1" x14ac:dyDescent="0.25">
      <c r="A14" s="2" t="s">
        <v>26</v>
      </c>
      <c r="B14" s="14">
        <f>'Data Sheet'!B66</f>
        <v>12405.19</v>
      </c>
      <c r="C14" s="14">
        <f>'Data Sheet'!C66</f>
        <v>13763.48</v>
      </c>
      <c r="D14" s="14">
        <f>'Data Sheet'!D66</f>
        <v>16248.84</v>
      </c>
      <c r="E14" s="14">
        <f>'Data Sheet'!E66</f>
        <v>16137.97</v>
      </c>
      <c r="F14" s="14">
        <f>'Data Sheet'!F66</f>
        <v>20355.34</v>
      </c>
      <c r="G14" s="14">
        <f>'Data Sheet'!G66</f>
        <v>22958.43</v>
      </c>
      <c r="H14" s="14">
        <f>'Data Sheet'!H66</f>
        <v>25779.33</v>
      </c>
      <c r="I14" s="14">
        <f>'Data Sheet'!I66</f>
        <v>29900.77</v>
      </c>
      <c r="J14" s="14">
        <f>'Data Sheet'!J66</f>
        <v>30355.25</v>
      </c>
      <c r="K14" s="14">
        <f>'Data Sheet'!K66</f>
        <v>34518.75</v>
      </c>
    </row>
    <row r="15" spans="1:11" x14ac:dyDescent="0.25"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 x14ac:dyDescent="0.25">
      <c r="A16" t="s">
        <v>30</v>
      </c>
      <c r="B16" s="4">
        <f>B13-B7</f>
        <v>1950.96</v>
      </c>
      <c r="C16" s="4">
        <f t="shared" ref="C16:K16" si="0">C13-C7</f>
        <v>1665.6100000000006</v>
      </c>
      <c r="D16" s="4">
        <f t="shared" si="0"/>
        <v>1515.3400000000001</v>
      </c>
      <c r="E16" s="4">
        <f t="shared" si="0"/>
        <v>2817.2599999999993</v>
      </c>
      <c r="F16" s="4">
        <f t="shared" si="0"/>
        <v>3121.1100000000006</v>
      </c>
      <c r="G16" s="4">
        <f t="shared" si="0"/>
        <v>6205.42</v>
      </c>
      <c r="H16" s="4">
        <f t="shared" si="0"/>
        <v>6873.09</v>
      </c>
      <c r="I16" s="4">
        <f t="shared" si="0"/>
        <v>6769.77</v>
      </c>
      <c r="J16" s="4">
        <f t="shared" si="0"/>
        <v>6490.76</v>
      </c>
      <c r="K16" s="4">
        <f t="shared" si="0"/>
        <v>6749.83</v>
      </c>
    </row>
    <row r="17" spans="1:11" x14ac:dyDescent="0.25">
      <c r="A17" t="s">
        <v>44</v>
      </c>
      <c r="B17" s="4">
        <f>'Data Sheet'!B67</f>
        <v>1446.6</v>
      </c>
      <c r="C17" s="4">
        <f>'Data Sheet'!C67</f>
        <v>1730.63</v>
      </c>
      <c r="D17" s="4">
        <f>'Data Sheet'!D67</f>
        <v>1907.33</v>
      </c>
      <c r="E17" s="4">
        <f>'Data Sheet'!E67</f>
        <v>1795.22</v>
      </c>
      <c r="F17" s="4">
        <f>'Data Sheet'!F67</f>
        <v>2602.17</v>
      </c>
      <c r="G17" s="4">
        <f>'Data Sheet'!G67</f>
        <v>3871.44</v>
      </c>
      <c r="H17" s="4">
        <f>'Data Sheet'!H67</f>
        <v>4636.9399999999996</v>
      </c>
      <c r="I17" s="4">
        <f>'Data Sheet'!I67</f>
        <v>4889.05</v>
      </c>
      <c r="J17" s="4">
        <f>'Data Sheet'!J67</f>
        <v>4313.6499999999996</v>
      </c>
      <c r="K17" s="4">
        <f>'Data Sheet'!K67</f>
        <v>4461.8</v>
      </c>
    </row>
    <row r="18" spans="1:11" x14ac:dyDescent="0.25">
      <c r="A18" t="s">
        <v>45</v>
      </c>
      <c r="B18" s="4">
        <f>'Data Sheet'!B68</f>
        <v>2626.94</v>
      </c>
      <c r="C18" s="4">
        <f>'Data Sheet'!C68</f>
        <v>2658.31</v>
      </c>
      <c r="D18" s="4">
        <f>'Data Sheet'!D68</f>
        <v>3149.86</v>
      </c>
      <c r="E18" s="4">
        <f>'Data Sheet'!E68</f>
        <v>3389.81</v>
      </c>
      <c r="F18" s="4">
        <f>'Data Sheet'!F68</f>
        <v>3798.6</v>
      </c>
      <c r="G18" s="4">
        <f>'Data Sheet'!G68</f>
        <v>6152.98</v>
      </c>
      <c r="H18" s="4">
        <f>'Data Sheet'!H68</f>
        <v>6210.64</v>
      </c>
      <c r="I18" s="4">
        <f>'Data Sheet'!I68</f>
        <v>5923.41</v>
      </c>
      <c r="J18" s="4">
        <f>'Data Sheet'!J68</f>
        <v>6719.27</v>
      </c>
      <c r="K18" s="4">
        <f>'Data Sheet'!K68</f>
        <v>5743.69</v>
      </c>
    </row>
    <row r="20" spans="1:11" x14ac:dyDescent="0.25">
      <c r="A20" t="s">
        <v>46</v>
      </c>
      <c r="B20" s="4">
        <f>IF('Profit &amp; Loss'!B4&gt;0,'Balance Sheet'!B17/('Profit &amp; Loss'!B4/365),0)</f>
        <v>35.05572636816251</v>
      </c>
      <c r="C20" s="4">
        <f>IF('Profit &amp; Loss'!C4&gt;0,'Balance Sheet'!C17/('Profit &amp; Loss'!C4/365),0)</f>
        <v>37.545131964896541</v>
      </c>
      <c r="D20" s="4">
        <f>IF('Profit &amp; Loss'!D4&gt;0,'Balance Sheet'!D17/('Profit &amp; Loss'!D4/365),0)</f>
        <v>36.18351071432469</v>
      </c>
      <c r="E20" s="4">
        <f>IF('Profit &amp; Loss'!E4&gt;0,'Balance Sheet'!E17/('Profit &amp; Loss'!E4/365),0)</f>
        <v>32.420325313872226</v>
      </c>
      <c r="F20" s="4">
        <f>IF('Profit &amp; Loss'!F4&gt;0,'Balance Sheet'!F17/('Profit &amp; Loss'!F4/365),0)</f>
        <v>43.743436472235949</v>
      </c>
      <c r="G20" s="4">
        <f>IF('Profit &amp; Loss'!G4&gt;0,'Balance Sheet'!G17/('Profit &amp; Loss'!G4/365),0)</f>
        <v>48.557163121347244</v>
      </c>
      <c r="H20" s="4">
        <f>IF('Profit &amp; Loss'!H4&gt;0,'Balance Sheet'!H17/('Profit &amp; Loss'!H4/365),0)</f>
        <v>49.073711044725222</v>
      </c>
      <c r="I20" s="4">
        <f>IF('Profit &amp; Loss'!I4&gt;0,'Balance Sheet'!I17/('Profit &amp; Loss'!I4/365),0)</f>
        <v>50.275160566089667</v>
      </c>
      <c r="J20" s="4">
        <f>IF('Profit &amp; Loss'!J4&gt;0,'Balance Sheet'!J17/('Profit &amp; Loss'!J4/365),0)</f>
        <v>46.437205690384069</v>
      </c>
      <c r="K20" s="4">
        <f>IF('Profit &amp; Loss'!K4&gt;0,'Balance Sheet'!K17/('Profit &amp; Loss'!K4/365),0)</f>
        <v>45.767144022208022</v>
      </c>
    </row>
    <row r="21" spans="1:11" x14ac:dyDescent="0.25">
      <c r="A21" t="s">
        <v>47</v>
      </c>
      <c r="B21" s="4">
        <f>IF('Balance Sheet'!B18&gt;0,'Profit &amp; Loss'!B4/'Balance Sheet'!B18,0)</f>
        <v>5.7336635020213631</v>
      </c>
      <c r="C21" s="4">
        <f>IF('Balance Sheet'!C18&gt;0,'Profit &amp; Loss'!C4/'Balance Sheet'!C18,0)</f>
        <v>6.3290398787199385</v>
      </c>
      <c r="D21" s="4">
        <f>IF('Balance Sheet'!D18&gt;0,'Profit &amp; Loss'!D4/'Balance Sheet'!D18,0)</f>
        <v>6.1082492555224679</v>
      </c>
      <c r="E21" s="4">
        <f>IF('Balance Sheet'!E18&gt;0,'Profit &amp; Loss'!E4/'Balance Sheet'!E18,0)</f>
        <v>5.9623548222466747</v>
      </c>
      <c r="F21" s="4">
        <f>IF('Balance Sheet'!F18&gt;0,'Profit &amp; Loss'!F4/'Balance Sheet'!F18,0)</f>
        <v>5.7159979992628864</v>
      </c>
      <c r="G21" s="4">
        <f>IF('Balance Sheet'!G18&gt;0,'Profit &amp; Loss'!G4/'Balance Sheet'!G18,0)</f>
        <v>4.7296236945350056</v>
      </c>
      <c r="H21" s="4">
        <f>IF('Balance Sheet'!H18&gt;0,'Profit &amp; Loss'!H4/'Balance Sheet'!H18,0)</f>
        <v>5.5531458915667296</v>
      </c>
      <c r="I21" s="4">
        <f>IF('Balance Sheet'!I18&gt;0,'Profit &amp; Loss'!I4/'Balance Sheet'!I18,0)</f>
        <v>5.9922797847861293</v>
      </c>
      <c r="J21" s="4">
        <f>IF('Balance Sheet'!J18&gt;0,'Profit &amp; Loss'!J4/'Balance Sheet'!J18,0)</f>
        <v>5.0460273214203326</v>
      </c>
      <c r="K21" s="4">
        <f>IF('Balance Sheet'!K18&gt;0,'Profit &amp; Loss'!K4/'Balance Sheet'!K18,0)</f>
        <v>6.1952403420101021</v>
      </c>
    </row>
    <row r="23" spans="1:11" s="2" customFormat="1" x14ac:dyDescent="0.25">
      <c r="A23" s="2" t="s">
        <v>50</v>
      </c>
      <c r="B23" s="10">
        <f>IF(SUM('Balance Sheet'!B4:B5)&gt;0,'Profit &amp; Loss'!B12/SUM('Balance Sheet'!B4:B5),"")</f>
        <v>0.25505760867135113</v>
      </c>
      <c r="C23" s="10">
        <f>IF(SUM('Balance Sheet'!C4:C5)&gt;0,'Profit &amp; Loss'!C12/SUM('Balance Sheet'!C4:C5),"")</f>
        <v>0.24243451130349589</v>
      </c>
      <c r="D23" s="10">
        <f>IF(SUM('Balance Sheet'!D4:D5)&gt;0,'Profit &amp; Loss'!D12/SUM('Balance Sheet'!D4:D5),"")</f>
        <v>0.22764464577030905</v>
      </c>
      <c r="E23" s="10">
        <f>IF(SUM('Balance Sheet'!E4:E5)&gt;0,'Profit &amp; Loss'!E12/SUM('Balance Sheet'!E4:E5),"")</f>
        <v>0.26704119184692049</v>
      </c>
      <c r="F23" s="10">
        <f>IF(SUM('Balance Sheet'!F4:F5)&gt;0,'Profit &amp; Loss'!F12/SUM('Balance Sheet'!F4:F5),"")</f>
        <v>0.24513656960759125</v>
      </c>
      <c r="G23" s="10">
        <f>IF(SUM('Balance Sheet'!G4:G5)&gt;0,'Profit &amp; Loss'!G12/SUM('Balance Sheet'!G4:G5),"")</f>
        <v>0.21942271546443706</v>
      </c>
      <c r="H23" s="10">
        <f>IF(SUM('Balance Sheet'!H4:H5)&gt;0,'Profit &amp; Loss'!H12/SUM('Balance Sheet'!H4:H5),"")</f>
        <v>0.25677782273016331</v>
      </c>
      <c r="I23" s="10">
        <f>IF(SUM('Balance Sheet'!I4:I5)&gt;0,'Profit &amp; Loss'!I12/SUM('Balance Sheet'!I4:I5),"")</f>
        <v>0.29154968683756666</v>
      </c>
      <c r="J23" s="10">
        <f>IF(SUM('Balance Sheet'!J4:J5)&gt;0,'Profit &amp; Loss'!J12/SUM('Balance Sheet'!J4:J5),"")</f>
        <v>0.18903432559391048</v>
      </c>
      <c r="K23" s="10">
        <f>IF(SUM('Balance Sheet'!K4:K5)&gt;0,'Profit &amp; Loss'!K12/SUM('Balance Sheet'!K4:K5),"")</f>
        <v>0.2023878429260528</v>
      </c>
    </row>
    <row r="24" spans="1:11" s="2" customFormat="1" x14ac:dyDescent="0.25">
      <c r="A24" s="2" t="s">
        <v>51</v>
      </c>
      <c r="B24" s="10"/>
      <c r="C24" s="10">
        <f>IF((B4+B5+B6+C4+C5+C6)&gt;0,('Profit &amp; Loss'!C10+'Profit &amp; Loss'!C9)*2/(B4+B5+B6+C4+C5+C6),"")</f>
        <v>0.37175244872395136</v>
      </c>
      <c r="D24" s="10">
        <f>IF((C4+C5+C6+D4+D5+D6)&gt;0,('Profit &amp; Loss'!D10+'Profit &amp; Loss'!D9)*2/(C4+C5+C6+D4+D5+D6),"")</f>
        <v>0.34626562230000191</v>
      </c>
      <c r="E24" s="10">
        <f>IF((D4+D5+D6+E4+E5+E6)&gt;0,('Profit &amp; Loss'!E10+'Profit &amp; Loss'!E9)*2/(D4+D5+D6+E4+E5+E6),"")</f>
        <v>0.33861810143106641</v>
      </c>
      <c r="F24" s="10">
        <f>IF((E4+E5+E6+F4+F5+F6)&gt;0,('Profit &amp; Loss'!F10+'Profit &amp; Loss'!F9)*2/(E4+E5+E6+F4+F5+F6),"")</f>
        <v>0.34960774325823019</v>
      </c>
      <c r="G24" s="10">
        <f>IF((F4+F5+F6+G4+G5+G6)&gt;0,('Profit &amp; Loss'!G10+'Profit &amp; Loss'!G9)*2/(F4+F5+F6+G4+G5+G6),"")</f>
        <v>0.29238527741796749</v>
      </c>
      <c r="H24" s="10">
        <f>IF((G4+G5+G6+H4+H5+H6)&gt;0,('Profit &amp; Loss'!H10+'Profit &amp; Loss'!H9)*2/(G4+G5+G6+H4+H5+H6),"")</f>
        <v>0.35010228581871716</v>
      </c>
      <c r="I24" s="10">
        <f>IF((H4+H5+H6+I4+I5+I6)&gt;0,('Profit &amp; Loss'!I10+'Profit &amp; Loss'!I9)*2/(H4+H5+H6+I4+I5+I6),"")</f>
        <v>0.38606781465633033</v>
      </c>
      <c r="J24" s="10">
        <f>IF((I4+I5+I6+J4+J5+J6)&gt;0,('Profit &amp; Loss'!J10+'Profit &amp; Loss'!J9)*2/(I4+I5+I6+J4+J5+J6),"")</f>
        <v>0.24853087162921128</v>
      </c>
      <c r="K24" s="10">
        <f>IF((J4+J5+J6+K4+K5+K6)&gt;0,('Profit &amp; Loss'!K10+'Profit &amp; Loss'!K9)*2/(J4+J5+J6+K4+K5+K6),"")</f>
        <v>0.26383350549535206</v>
      </c>
    </row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87F0B-5882-4C53-8DF9-F003601BEABE}">
  <dimension ref="A1:L38"/>
  <sheetViews>
    <sheetView tabSelected="1" topLeftCell="A2" zoomScale="120" workbookViewId="0">
      <selection activeCell="D40" sqref="D40"/>
    </sheetView>
  </sheetViews>
  <sheetFormatPr defaultRowHeight="15" x14ac:dyDescent="0.25"/>
  <cols>
    <col min="1" max="1" width="31.85546875" customWidth="1"/>
    <col min="2" max="2" width="12.5703125" bestFit="1" customWidth="1"/>
    <col min="3" max="3" width="14.28515625" bestFit="1" customWidth="1"/>
    <col min="4" max="4" width="13.28515625" bestFit="1" customWidth="1"/>
  </cols>
  <sheetData>
    <row r="1" spans="1:5" x14ac:dyDescent="0.25">
      <c r="A1" s="42" t="s">
        <v>81</v>
      </c>
      <c r="B1" s="42"/>
      <c r="C1" s="42"/>
      <c r="D1" s="42"/>
    </row>
    <row r="2" spans="1:5" ht="15.75" thickBot="1" x14ac:dyDescent="0.3">
      <c r="A2" s="43"/>
      <c r="B2" s="43"/>
      <c r="C2" s="43"/>
      <c r="D2" s="43"/>
    </row>
    <row r="3" spans="1:5" ht="15.75" thickTop="1" x14ac:dyDescent="0.25">
      <c r="A3" s="22" t="s">
        <v>82</v>
      </c>
      <c r="B3" s="35" t="s">
        <v>100</v>
      </c>
      <c r="C3" s="35" t="s">
        <v>101</v>
      </c>
      <c r="D3" s="35" t="s">
        <v>102</v>
      </c>
      <c r="E3" s="21"/>
    </row>
    <row r="4" spans="1:5" x14ac:dyDescent="0.25">
      <c r="A4" s="22" t="s">
        <v>83</v>
      </c>
      <c r="B4" s="36">
        <v>35494.730000000003</v>
      </c>
      <c r="C4" s="36">
        <v>33905.620000000003</v>
      </c>
      <c r="D4" s="36">
        <v>35583.54</v>
      </c>
    </row>
    <row r="5" spans="1:5" x14ac:dyDescent="0.25">
      <c r="A5" s="22" t="s">
        <v>84</v>
      </c>
      <c r="B5" s="36">
        <v>7584.98</v>
      </c>
      <c r="C5" s="37">
        <v>6006.21</v>
      </c>
      <c r="D5" s="36">
        <v>6699.73</v>
      </c>
    </row>
    <row r="6" spans="1:5" x14ac:dyDescent="0.25">
      <c r="A6" s="22" t="s">
        <v>85</v>
      </c>
      <c r="B6" s="36">
        <v>5460.23</v>
      </c>
      <c r="C6" s="36">
        <v>3667.23</v>
      </c>
      <c r="D6" s="36">
        <v>4325.3500000000004</v>
      </c>
    </row>
    <row r="7" spans="1:5" x14ac:dyDescent="0.25">
      <c r="A7" s="22" t="s">
        <v>107</v>
      </c>
      <c r="B7" s="36">
        <v>205.17</v>
      </c>
      <c r="C7" s="36">
        <v>227.02</v>
      </c>
      <c r="D7" s="36">
        <v>195.41</v>
      </c>
    </row>
    <row r="8" spans="1:5" ht="15.75" thickBot="1" x14ac:dyDescent="0.3">
      <c r="A8" s="22"/>
      <c r="B8" s="30"/>
      <c r="C8" s="30"/>
      <c r="D8" s="30"/>
    </row>
    <row r="9" spans="1:5" x14ac:dyDescent="0.25">
      <c r="A9" s="39" t="s">
        <v>86</v>
      </c>
      <c r="B9" s="30"/>
      <c r="C9" s="30"/>
      <c r="D9" s="30"/>
    </row>
    <row r="10" spans="1:5" x14ac:dyDescent="0.25">
      <c r="A10" s="40" t="s">
        <v>87</v>
      </c>
      <c r="B10" s="23">
        <f>B5/B4</f>
        <v>0.21369313134654072</v>
      </c>
      <c r="C10" s="23">
        <f t="shared" ref="C10:D10" si="0">C5/C4</f>
        <v>0.17714496888716383</v>
      </c>
      <c r="D10" s="23">
        <f t="shared" si="0"/>
        <v>0.18828171677129368</v>
      </c>
    </row>
    <row r="11" spans="1:5" x14ac:dyDescent="0.25">
      <c r="A11" s="40" t="s">
        <v>88</v>
      </c>
      <c r="B11" s="23">
        <f>B6/B4</f>
        <v>0.15383213226301479</v>
      </c>
      <c r="C11" s="23">
        <f t="shared" ref="C11:D11" si="1">C6/C4</f>
        <v>0.10815994516543274</v>
      </c>
      <c r="D11" s="23">
        <f t="shared" si="1"/>
        <v>0.12155479752717127</v>
      </c>
    </row>
    <row r="12" spans="1:5" ht="15.75" thickBot="1" x14ac:dyDescent="0.3">
      <c r="A12" s="41" t="s">
        <v>89</v>
      </c>
      <c r="B12" s="23"/>
      <c r="C12" s="23">
        <f>(C4-B4)/B4</f>
        <v>-4.4770308155605086E-2</v>
      </c>
      <c r="D12" s="23">
        <f>(D4-C4)/C4</f>
        <v>4.948796099289729E-2</v>
      </c>
    </row>
    <row r="13" spans="1:5" x14ac:dyDescent="0.25">
      <c r="A13" s="22"/>
      <c r="B13" s="30"/>
      <c r="C13" s="30"/>
      <c r="D13" s="30"/>
    </row>
    <row r="14" spans="1:5" x14ac:dyDescent="0.25">
      <c r="A14" s="22" t="s">
        <v>90</v>
      </c>
      <c r="B14" s="30"/>
      <c r="C14" s="30"/>
      <c r="D14" s="30"/>
    </row>
    <row r="15" spans="1:5" x14ac:dyDescent="0.25">
      <c r="A15" s="22" t="s">
        <v>91</v>
      </c>
      <c r="B15" s="36">
        <v>2474.38</v>
      </c>
      <c r="C15" s="36">
        <v>2290.29</v>
      </c>
      <c r="D15" s="36">
        <v>3928.93</v>
      </c>
    </row>
    <row r="16" spans="1:5" x14ac:dyDescent="0.25">
      <c r="A16" s="22" t="s">
        <v>92</v>
      </c>
      <c r="B16" s="36">
        <v>95.92</v>
      </c>
      <c r="C16" s="36">
        <v>95.92</v>
      </c>
      <c r="D16" s="36">
        <v>95.92</v>
      </c>
    </row>
    <row r="17" spans="1:12" x14ac:dyDescent="0.25">
      <c r="A17" s="22" t="s">
        <v>93</v>
      </c>
      <c r="B17" s="36">
        <v>18632.38</v>
      </c>
      <c r="C17" s="36">
        <v>19303.89</v>
      </c>
      <c r="D17" s="36">
        <v>21275.67</v>
      </c>
      <c r="E17" t="s">
        <v>114</v>
      </c>
    </row>
    <row r="18" spans="1:12" x14ac:dyDescent="0.25">
      <c r="A18" s="22" t="s">
        <v>94</v>
      </c>
      <c r="B18" s="36">
        <f>B16+B17</f>
        <v>18728.3</v>
      </c>
      <c r="C18" s="36">
        <f t="shared" ref="C18:D18" si="2">C16+C17</f>
        <v>19399.809999999998</v>
      </c>
      <c r="D18" s="36">
        <f t="shared" si="2"/>
        <v>21371.589999999997</v>
      </c>
    </row>
    <row r="19" spans="1:12" x14ac:dyDescent="0.25">
      <c r="A19" s="22" t="s">
        <v>106</v>
      </c>
      <c r="B19" s="36">
        <v>29900.77</v>
      </c>
      <c r="C19" s="36">
        <v>30355.25</v>
      </c>
      <c r="D19" s="36">
        <v>34518.75</v>
      </c>
    </row>
    <row r="20" spans="1:12" ht="15.75" thickBot="1" x14ac:dyDescent="0.3">
      <c r="A20" s="22"/>
      <c r="B20" s="30"/>
      <c r="C20" s="30"/>
      <c r="D20" s="30"/>
    </row>
    <row r="21" spans="1:12" ht="17.25" customHeight="1" x14ac:dyDescent="0.25">
      <c r="A21" s="39" t="s">
        <v>95</v>
      </c>
      <c r="B21" s="30"/>
      <c r="C21" s="30"/>
      <c r="D21" s="30"/>
    </row>
    <row r="22" spans="1:12" ht="17.25" customHeight="1" x14ac:dyDescent="0.25">
      <c r="A22" s="40" t="s">
        <v>97</v>
      </c>
      <c r="B22" s="23">
        <f>B6/B18</f>
        <v>0.29154968683756666</v>
      </c>
      <c r="C22" s="23">
        <f>C6/C18</f>
        <v>0.18903432559391048</v>
      </c>
      <c r="D22" s="23">
        <f>D6/D18</f>
        <v>0.2023878429260528</v>
      </c>
    </row>
    <row r="23" spans="1:12" ht="17.25" customHeight="1" x14ac:dyDescent="0.25">
      <c r="A23" s="40" t="s">
        <v>103</v>
      </c>
      <c r="B23" s="23"/>
      <c r="C23" s="23">
        <f>(C6-B6)/B6</f>
        <v>-0.32837444576510505</v>
      </c>
      <c r="D23" s="23">
        <f>(D6-C6)/C6</f>
        <v>0.17945970119136251</v>
      </c>
    </row>
    <row r="24" spans="1:12" ht="17.25" customHeight="1" x14ac:dyDescent="0.25">
      <c r="A24" s="40" t="s">
        <v>115</v>
      </c>
      <c r="B24" s="38">
        <f>B6/B19*100</f>
        <v>18.261168525091492</v>
      </c>
      <c r="C24" s="38">
        <f t="shared" ref="C24:D24" si="3">C6/C19*100</f>
        <v>12.08104034722165</v>
      </c>
      <c r="D24" s="38">
        <f t="shared" si="3"/>
        <v>12.530436357052327</v>
      </c>
    </row>
    <row r="25" spans="1:12" ht="17.25" customHeight="1" x14ac:dyDescent="0.25">
      <c r="A25" s="40" t="s">
        <v>104</v>
      </c>
      <c r="B25" s="38">
        <f>B4/B19</f>
        <v>1.1870841453246856</v>
      </c>
      <c r="C25" s="38">
        <f t="shared" ref="C25:D25" si="4">C4/C19</f>
        <v>1.1169606575468825</v>
      </c>
      <c r="D25" s="38">
        <f t="shared" si="4"/>
        <v>1.0308467137425312</v>
      </c>
    </row>
    <row r="26" spans="1:12" ht="17.25" customHeight="1" x14ac:dyDescent="0.25">
      <c r="A26" s="40" t="s">
        <v>105</v>
      </c>
      <c r="B26" s="38">
        <f>B5/B7</f>
        <v>36.969245016327925</v>
      </c>
      <c r="C26" s="38">
        <f t="shared" ref="C26:D26" si="5">C5/C7</f>
        <v>26.456743899215926</v>
      </c>
      <c r="D26" s="38">
        <f t="shared" si="5"/>
        <v>34.285502277263191</v>
      </c>
    </row>
    <row r="27" spans="1:12" ht="15.75" thickBot="1" x14ac:dyDescent="0.3">
      <c r="A27" s="41" t="s">
        <v>96</v>
      </c>
      <c r="B27" s="38">
        <f>B15/B18</f>
        <v>0.13211984002819263</v>
      </c>
      <c r="C27" s="38">
        <f t="shared" ref="C27:D27" si="6">C15/C18</f>
        <v>0.11805734179870835</v>
      </c>
      <c r="D27" s="38">
        <f t="shared" si="6"/>
        <v>0.18383891886378134</v>
      </c>
    </row>
    <row r="28" spans="1:12" ht="15.75" thickBot="1" x14ac:dyDescent="0.3">
      <c r="A28" s="2"/>
      <c r="B28" s="24"/>
      <c r="C28" s="24"/>
      <c r="D28" s="24"/>
    </row>
    <row r="29" spans="1:12" x14ac:dyDescent="0.25">
      <c r="A29" s="25" t="s">
        <v>98</v>
      </c>
      <c r="B29" s="26"/>
      <c r="C29" s="26"/>
      <c r="D29" s="27"/>
      <c r="E29" s="27"/>
      <c r="F29" s="27"/>
      <c r="G29" s="27"/>
      <c r="H29" s="27"/>
      <c r="I29" s="27"/>
      <c r="J29" s="27"/>
      <c r="K29" s="27"/>
      <c r="L29" s="28"/>
    </row>
    <row r="30" spans="1:12" x14ac:dyDescent="0.25">
      <c r="A30" s="29" t="s">
        <v>108</v>
      </c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1"/>
    </row>
    <row r="31" spans="1:12" x14ac:dyDescent="0.25">
      <c r="A31" s="29" t="s">
        <v>109</v>
      </c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1"/>
    </row>
    <row r="32" spans="1:12" x14ac:dyDescent="0.25">
      <c r="A32" s="29" t="s">
        <v>110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1"/>
    </row>
    <row r="33" spans="1:12" x14ac:dyDescent="0.25">
      <c r="A33" s="29" t="s">
        <v>111</v>
      </c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1"/>
    </row>
    <row r="34" spans="1:12" x14ac:dyDescent="0.25">
      <c r="A34" s="29" t="s">
        <v>112</v>
      </c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1"/>
    </row>
    <row r="35" spans="1:12" x14ac:dyDescent="0.25">
      <c r="A35" s="29" t="s">
        <v>116</v>
      </c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1"/>
    </row>
    <row r="36" spans="1:12" x14ac:dyDescent="0.25">
      <c r="A36" s="46" t="s">
        <v>117</v>
      </c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1"/>
    </row>
    <row r="37" spans="1:12" x14ac:dyDescent="0.25">
      <c r="A37" s="29" t="s">
        <v>113</v>
      </c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1"/>
    </row>
    <row r="38" spans="1:12" ht="15.75" thickBot="1" x14ac:dyDescent="0.3">
      <c r="A38" s="32" t="s">
        <v>99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4"/>
    </row>
  </sheetData>
  <sheetProtection formatCells="0" formatColumns="0" formatRows="0" insertColumns="0" insertRows="0" insertHyperlinks="0" deleteColumns="0" deleteRows="0" sort="0" autoFilter="0" pivotTables="0"/>
  <mergeCells count="1">
    <mergeCell ref="A1:D2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85546875" defaultRowHeight="15" x14ac:dyDescent="0.25"/>
  <cols>
    <col min="1" max="1" width="26.85546875" bestFit="1" customWidth="1"/>
    <col min="2" max="6" width="13.42578125" customWidth="1"/>
    <col min="7" max="11" width="13.42578125" bestFit="1" customWidth="1"/>
  </cols>
  <sheetData>
    <row r="1" spans="1:11" s="2" customFormat="1" x14ac:dyDescent="0.25">
      <c r="A1" s="2" t="str">
        <f>'Balance Sheet'!A1</f>
        <v>ASIAN PAINTS LTD</v>
      </c>
      <c r="E1" t="str">
        <f>UPDATE</f>
        <v/>
      </c>
      <c r="F1"/>
      <c r="J1" s="2" t="s">
        <v>1</v>
      </c>
    </row>
    <row r="3" spans="1:11" s="2" customFormat="1" x14ac:dyDescent="0.25">
      <c r="A3" s="11" t="s">
        <v>2</v>
      </c>
      <c r="B3" s="12">
        <f>'Data Sheet'!B81</f>
        <v>42825</v>
      </c>
      <c r="C3" s="12">
        <f>'Data Sheet'!C81</f>
        <v>43190</v>
      </c>
      <c r="D3" s="12">
        <f>'Data Sheet'!D81</f>
        <v>43555</v>
      </c>
      <c r="E3" s="12">
        <f>'Data Sheet'!E81</f>
        <v>43921</v>
      </c>
      <c r="F3" s="12">
        <f>'Data Sheet'!F81</f>
        <v>44286</v>
      </c>
      <c r="G3" s="12">
        <f>'Data Sheet'!G81</f>
        <v>44651</v>
      </c>
      <c r="H3" s="12">
        <f>'Data Sheet'!H81</f>
        <v>45016</v>
      </c>
      <c r="I3" s="12">
        <f>'Data Sheet'!I81</f>
        <v>45382</v>
      </c>
      <c r="J3" s="12">
        <f>'Data Sheet'!J81</f>
        <v>45747</v>
      </c>
      <c r="K3" s="12">
        <f>'Data Sheet'!K81</f>
        <v>46112</v>
      </c>
    </row>
    <row r="4" spans="1:11" s="2" customFormat="1" x14ac:dyDescent="0.25">
      <c r="A4" s="2" t="s">
        <v>32</v>
      </c>
      <c r="B4" s="1">
        <f>'Data Sheet'!B82</f>
        <v>1527.33</v>
      </c>
      <c r="C4" s="1">
        <f>'Data Sheet'!C82</f>
        <v>2113.44</v>
      </c>
      <c r="D4" s="1">
        <f>'Data Sheet'!D82</f>
        <v>2469.54</v>
      </c>
      <c r="E4" s="1">
        <f>'Data Sheet'!E82</f>
        <v>3038.15</v>
      </c>
      <c r="F4" s="1">
        <f>'Data Sheet'!F82</f>
        <v>3683.35</v>
      </c>
      <c r="G4" s="1">
        <f>'Data Sheet'!G82</f>
        <v>986.49</v>
      </c>
      <c r="H4" s="1">
        <f>'Data Sheet'!H82</f>
        <v>4193.43</v>
      </c>
      <c r="I4" s="1">
        <f>'Data Sheet'!I82</f>
        <v>6103.6</v>
      </c>
      <c r="J4" s="1">
        <f>'Data Sheet'!J82</f>
        <v>4423.96</v>
      </c>
      <c r="K4" s="1">
        <f>'Data Sheet'!K82</f>
        <v>7088.18</v>
      </c>
    </row>
    <row r="5" spans="1:11" x14ac:dyDescent="0.25">
      <c r="A5" t="s">
        <v>33</v>
      </c>
      <c r="B5" s="6">
        <f>'Data Sheet'!B83</f>
        <v>-681.11</v>
      </c>
      <c r="C5" s="6">
        <f>'Data Sheet'!C83</f>
        <v>-1556.14</v>
      </c>
      <c r="D5" s="6">
        <f>'Data Sheet'!D83</f>
        <v>-917.79</v>
      </c>
      <c r="E5" s="6">
        <f>'Data Sheet'!E83</f>
        <v>-517.91</v>
      </c>
      <c r="F5" s="6">
        <f>'Data Sheet'!F83</f>
        <v>-540.54</v>
      </c>
      <c r="G5" s="6">
        <f>'Data Sheet'!G83</f>
        <v>-316.75</v>
      </c>
      <c r="H5" s="6">
        <f>'Data Sheet'!H83</f>
        <v>-1282.3399999999999</v>
      </c>
      <c r="I5" s="6">
        <f>'Data Sheet'!I83</f>
        <v>-2548.48</v>
      </c>
      <c r="J5" s="6">
        <f>'Data Sheet'!J83</f>
        <v>-940.91</v>
      </c>
      <c r="K5" s="6">
        <f>'Data Sheet'!K83</f>
        <v>-1328.23</v>
      </c>
    </row>
    <row r="6" spans="1:11" x14ac:dyDescent="0.25">
      <c r="A6" t="s">
        <v>34</v>
      </c>
      <c r="B6" s="6">
        <f>'Data Sheet'!B84</f>
        <v>-756.43</v>
      </c>
      <c r="C6" s="6">
        <f>'Data Sheet'!C84</f>
        <v>-1379.14</v>
      </c>
      <c r="D6" s="6">
        <f>'Data Sheet'!D84</f>
        <v>-1117.46</v>
      </c>
      <c r="E6" s="6">
        <f>'Data Sheet'!E84</f>
        <v>-2871.46</v>
      </c>
      <c r="F6" s="6">
        <f>'Data Sheet'!F84</f>
        <v>-650.4</v>
      </c>
      <c r="G6" s="6">
        <f>'Data Sheet'!G84</f>
        <v>-1807.61</v>
      </c>
      <c r="H6" s="6">
        <f>'Data Sheet'!H84</f>
        <v>-2140.0500000000002</v>
      </c>
      <c r="I6" s="6">
        <f>'Data Sheet'!I84</f>
        <v>-2982.5</v>
      </c>
      <c r="J6" s="6">
        <f>'Data Sheet'!J84</f>
        <v>-3752.58</v>
      </c>
      <c r="K6" s="6">
        <f>'Data Sheet'!K84</f>
        <v>-2376.5100000000002</v>
      </c>
    </row>
    <row r="7" spans="1:11" s="2" customFormat="1" x14ac:dyDescent="0.25">
      <c r="A7" s="2" t="s">
        <v>35</v>
      </c>
      <c r="B7" s="1">
        <f>'Data Sheet'!B85</f>
        <v>89.79</v>
      </c>
      <c r="C7" s="1">
        <f>'Data Sheet'!C85</f>
        <v>-821.84</v>
      </c>
      <c r="D7" s="1">
        <f>'Data Sheet'!D85</f>
        <v>434.29</v>
      </c>
      <c r="E7" s="1">
        <f>'Data Sheet'!E85</f>
        <v>-351.22</v>
      </c>
      <c r="F7" s="1">
        <f>'Data Sheet'!F85</f>
        <v>2492.41</v>
      </c>
      <c r="G7" s="1">
        <f>'Data Sheet'!G85</f>
        <v>-1137.8699999999999</v>
      </c>
      <c r="H7" s="1">
        <f>'Data Sheet'!H85</f>
        <v>771.04</v>
      </c>
      <c r="I7" s="1">
        <f>'Data Sheet'!I85</f>
        <v>572.62</v>
      </c>
      <c r="J7" s="1">
        <f>'Data Sheet'!J85</f>
        <v>-269.52999999999997</v>
      </c>
      <c r="K7" s="1">
        <f>'Data Sheet'!K85</f>
        <v>3383.44</v>
      </c>
    </row>
    <row r="8" spans="1:11" x14ac:dyDescent="0.25">
      <c r="B8" s="6"/>
      <c r="C8" s="6"/>
      <c r="D8" s="6"/>
      <c r="E8" s="6"/>
      <c r="F8" s="6"/>
      <c r="G8" s="6"/>
      <c r="H8" s="6"/>
      <c r="I8" s="6"/>
      <c r="J8" s="6"/>
      <c r="K8" s="6"/>
    </row>
    <row r="24" customFormat="1" x14ac:dyDescent="0.25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B72" activePane="bottomRight" state="frozen"/>
      <selection activeCell="C4" sqref="C4"/>
      <selection pane="topRight" activeCell="C4" sqref="C4"/>
      <selection pane="bottomLeft" activeCell="C4" sqref="C4"/>
      <selection pane="bottomRight" activeCell="B9" sqref="B9"/>
    </sheetView>
  </sheetViews>
  <sheetFormatPr defaultColWidth="8.85546875" defaultRowHeight="15" x14ac:dyDescent="0.25"/>
  <cols>
    <col min="1" max="1" width="27.7109375" style="4" bestFit="1" customWidth="1"/>
    <col min="2" max="11" width="13.42578125" style="4" bestFit="1" customWidth="1"/>
    <col min="12" max="16384" width="8.85546875" style="4"/>
  </cols>
  <sheetData>
    <row r="1" spans="1:11" s="1" customFormat="1" x14ac:dyDescent="0.25">
      <c r="A1" s="1" t="s">
        <v>0</v>
      </c>
      <c r="B1" s="1" t="s">
        <v>54</v>
      </c>
      <c r="E1" s="44" t="str">
        <f>IF(B2&lt;&gt;B3, "A NEW VERSION OF THE WORKSHEET IS AVAILABLE", "")</f>
        <v/>
      </c>
      <c r="F1" s="44"/>
      <c r="G1" s="44"/>
      <c r="H1" s="44"/>
      <c r="I1" s="44"/>
      <c r="J1" s="44"/>
      <c r="K1" s="44"/>
    </row>
    <row r="2" spans="1:11" x14ac:dyDescent="0.25">
      <c r="A2" s="1" t="s">
        <v>52</v>
      </c>
      <c r="B2" s="4">
        <v>2.1</v>
      </c>
      <c r="E2" s="45" t="s">
        <v>36</v>
      </c>
      <c r="F2" s="45"/>
      <c r="G2" s="45"/>
      <c r="H2" s="45"/>
      <c r="I2" s="45"/>
      <c r="J2" s="45"/>
      <c r="K2" s="45"/>
    </row>
    <row r="3" spans="1:11" x14ac:dyDescent="0.25">
      <c r="A3" s="1" t="s">
        <v>53</v>
      </c>
      <c r="B3" s="4">
        <v>2.1</v>
      </c>
    </row>
    <row r="4" spans="1:11" x14ac:dyDescent="0.25">
      <c r="A4" s="1"/>
    </row>
    <row r="5" spans="1:11" x14ac:dyDescent="0.25">
      <c r="A5" s="1" t="s">
        <v>55</v>
      </c>
    </row>
    <row r="6" spans="1:11" x14ac:dyDescent="0.25">
      <c r="A6" s="4" t="s">
        <v>42</v>
      </c>
      <c r="B6" s="4">
        <f>IF(B9&gt;0, B9/B8, 0)</f>
        <v>95.919779808890738</v>
      </c>
    </row>
    <row r="7" spans="1:11" x14ac:dyDescent="0.25">
      <c r="A7" s="4" t="s">
        <v>31</v>
      </c>
      <c r="B7">
        <v>1</v>
      </c>
    </row>
    <row r="8" spans="1:11" x14ac:dyDescent="0.25">
      <c r="A8" s="4" t="s">
        <v>43</v>
      </c>
      <c r="B8">
        <v>2407</v>
      </c>
    </row>
    <row r="9" spans="1:11" x14ac:dyDescent="0.25">
      <c r="A9" s="4" t="s">
        <v>70</v>
      </c>
      <c r="B9">
        <v>230878.91</v>
      </c>
    </row>
    <row r="15" spans="1:11" x14ac:dyDescent="0.25">
      <c r="A15" s="1" t="s">
        <v>37</v>
      </c>
    </row>
    <row r="16" spans="1:11" s="18" customFormat="1" x14ac:dyDescent="0.25">
      <c r="A16" s="17" t="s">
        <v>38</v>
      </c>
      <c r="B16" s="12">
        <v>42825</v>
      </c>
      <c r="C16" s="12">
        <v>43190</v>
      </c>
      <c r="D16" s="12">
        <v>43555</v>
      </c>
      <c r="E16" s="12">
        <v>43921</v>
      </c>
      <c r="F16" s="12">
        <v>44286</v>
      </c>
      <c r="G16" s="12">
        <v>44651</v>
      </c>
      <c r="H16" s="12">
        <v>45016</v>
      </c>
      <c r="I16" s="12">
        <v>45382</v>
      </c>
      <c r="J16" s="12">
        <v>45747</v>
      </c>
      <c r="K16" s="12">
        <v>46112</v>
      </c>
    </row>
    <row r="17" spans="1:11" s="6" customFormat="1" x14ac:dyDescent="0.25">
      <c r="A17" s="6" t="s">
        <v>6</v>
      </c>
      <c r="B17">
        <v>15061.99</v>
      </c>
      <c r="C17">
        <v>16824.55</v>
      </c>
      <c r="D17">
        <v>19240.13</v>
      </c>
      <c r="E17">
        <v>20211.25</v>
      </c>
      <c r="F17">
        <v>21712.79</v>
      </c>
      <c r="G17">
        <v>29101.279999999999</v>
      </c>
      <c r="H17">
        <v>34488.589999999997</v>
      </c>
      <c r="I17">
        <v>35494.730000000003</v>
      </c>
      <c r="J17">
        <v>33905.620000000003</v>
      </c>
      <c r="K17">
        <v>35583.54</v>
      </c>
    </row>
    <row r="18" spans="1:11" s="6" customFormat="1" x14ac:dyDescent="0.25">
      <c r="A18" s="4" t="s">
        <v>71</v>
      </c>
      <c r="B18">
        <v>7452.6</v>
      </c>
      <c r="C18">
        <v>8128.17</v>
      </c>
      <c r="D18">
        <v>9974.4</v>
      </c>
      <c r="E18">
        <v>9981.99</v>
      </c>
      <c r="F18">
        <v>10425.549999999999</v>
      </c>
      <c r="G18">
        <v>17123.25</v>
      </c>
      <c r="H18">
        <v>18985.53</v>
      </c>
      <c r="I18">
        <v>17410.84</v>
      </c>
      <c r="J18">
        <v>17504.509999999998</v>
      </c>
      <c r="K18">
        <v>17142.009999999998</v>
      </c>
    </row>
    <row r="19" spans="1:11" s="6" customFormat="1" x14ac:dyDescent="0.25">
      <c r="A19" s="4" t="s">
        <v>72</v>
      </c>
      <c r="B19">
        <v>528.6</v>
      </c>
      <c r="C19">
        <v>-142.13</v>
      </c>
      <c r="D19">
        <v>293.26</v>
      </c>
      <c r="E19">
        <v>239.15</v>
      </c>
      <c r="F19">
        <v>92.45</v>
      </c>
      <c r="G19">
        <v>1324.97</v>
      </c>
      <c r="H19">
        <v>309.73</v>
      </c>
      <c r="I19">
        <v>-363.8</v>
      </c>
      <c r="J19">
        <v>205</v>
      </c>
      <c r="K19">
        <v>-603.67999999999995</v>
      </c>
    </row>
    <row r="20" spans="1:11" s="6" customFormat="1" x14ac:dyDescent="0.25">
      <c r="A20" s="4" t="s">
        <v>73</v>
      </c>
      <c r="B20">
        <v>106.02</v>
      </c>
      <c r="C20">
        <v>110.3</v>
      </c>
      <c r="D20">
        <v>119.63</v>
      </c>
      <c r="E20">
        <v>97.79</v>
      </c>
      <c r="F20">
        <v>86.05</v>
      </c>
      <c r="G20">
        <v>117.23</v>
      </c>
      <c r="H20">
        <v>138.29</v>
      </c>
      <c r="I20">
        <v>133.25</v>
      </c>
      <c r="J20">
        <v>148.58000000000001</v>
      </c>
      <c r="K20">
        <v>167.1</v>
      </c>
    </row>
    <row r="21" spans="1:11" s="6" customFormat="1" x14ac:dyDescent="0.25">
      <c r="A21" s="4" t="s">
        <v>74</v>
      </c>
      <c r="B21">
        <v>1662.75</v>
      </c>
      <c r="C21">
        <v>1691.68</v>
      </c>
      <c r="D21">
        <v>1862.35</v>
      </c>
      <c r="E21">
        <v>1946.12</v>
      </c>
      <c r="F21">
        <v>2068.31</v>
      </c>
      <c r="G21">
        <v>2880.45</v>
      </c>
      <c r="H21">
        <v>2916.2</v>
      </c>
      <c r="I21">
        <v>2767.18</v>
      </c>
      <c r="J21">
        <v>2687.4</v>
      </c>
      <c r="K21">
        <v>2767.11</v>
      </c>
    </row>
    <row r="22" spans="1:11" s="6" customFormat="1" x14ac:dyDescent="0.25">
      <c r="A22" s="4" t="s">
        <v>75</v>
      </c>
      <c r="B22">
        <v>1039.8900000000001</v>
      </c>
      <c r="C22">
        <v>1121.8900000000001</v>
      </c>
      <c r="D22">
        <v>1242.69</v>
      </c>
      <c r="E22">
        <v>1371.27</v>
      </c>
      <c r="F22">
        <v>1547.61</v>
      </c>
      <c r="G22">
        <v>1794.61</v>
      </c>
      <c r="H22">
        <v>2036.41</v>
      </c>
      <c r="I22">
        <v>2334.92</v>
      </c>
      <c r="J22">
        <v>2605.7800000000002</v>
      </c>
      <c r="K22">
        <v>2809.73</v>
      </c>
    </row>
    <row r="23" spans="1:11" s="6" customFormat="1" x14ac:dyDescent="0.25">
      <c r="A23" s="4" t="s">
        <v>76</v>
      </c>
      <c r="B23">
        <v>4364.04</v>
      </c>
      <c r="C23">
        <v>2254.92</v>
      </c>
      <c r="D23">
        <v>2366.87</v>
      </c>
      <c r="E23">
        <v>2311.5100000000002</v>
      </c>
      <c r="F23">
        <v>2245.69</v>
      </c>
      <c r="G23">
        <v>2941.98</v>
      </c>
      <c r="H23">
        <v>3500.84</v>
      </c>
      <c r="I23">
        <v>3811.86</v>
      </c>
      <c r="J23">
        <v>3874.94</v>
      </c>
      <c r="K23">
        <v>4112.07</v>
      </c>
    </row>
    <row r="24" spans="1:11" s="6" customFormat="1" x14ac:dyDescent="0.25">
      <c r="A24" s="4" t="s">
        <v>77</v>
      </c>
      <c r="B24">
        <v>-2028.47</v>
      </c>
      <c r="C24">
        <v>171.45</v>
      </c>
      <c r="D24">
        <v>202.51</v>
      </c>
      <c r="E24">
        <v>579.95000000000005</v>
      </c>
      <c r="F24">
        <v>576.42999999999995</v>
      </c>
      <c r="G24">
        <v>765.12</v>
      </c>
      <c r="H24">
        <v>961.21</v>
      </c>
      <c r="I24">
        <v>1087.9000000000001</v>
      </c>
      <c r="J24">
        <v>1283.2</v>
      </c>
      <c r="K24">
        <v>1282.1099999999999</v>
      </c>
    </row>
    <row r="25" spans="1:11" s="6" customFormat="1" x14ac:dyDescent="0.25">
      <c r="A25" s="6" t="s">
        <v>9</v>
      </c>
      <c r="B25">
        <v>337.9</v>
      </c>
      <c r="C25">
        <v>336.41</v>
      </c>
      <c r="D25">
        <v>273.77</v>
      </c>
      <c r="E25">
        <v>350.1</v>
      </c>
      <c r="F25">
        <v>331.65</v>
      </c>
      <c r="G25">
        <v>295.88</v>
      </c>
      <c r="H25">
        <v>431.46</v>
      </c>
      <c r="I25">
        <v>820.96</v>
      </c>
      <c r="J25">
        <v>350.22</v>
      </c>
      <c r="K25">
        <v>727.97</v>
      </c>
    </row>
    <row r="26" spans="1:11" s="6" customFormat="1" x14ac:dyDescent="0.25">
      <c r="A26" s="6" t="s">
        <v>10</v>
      </c>
      <c r="B26">
        <v>334.79</v>
      </c>
      <c r="C26">
        <v>360.47</v>
      </c>
      <c r="D26">
        <v>622.14</v>
      </c>
      <c r="E26">
        <v>780.5</v>
      </c>
      <c r="F26">
        <v>791.27</v>
      </c>
      <c r="G26">
        <v>816.36</v>
      </c>
      <c r="H26">
        <v>858.02</v>
      </c>
      <c r="I26">
        <v>853</v>
      </c>
      <c r="J26">
        <v>1026.3399999999999</v>
      </c>
      <c r="K26">
        <v>1228.8499999999999</v>
      </c>
    </row>
    <row r="27" spans="1:11" s="6" customFormat="1" x14ac:dyDescent="0.25">
      <c r="A27" s="6" t="s">
        <v>11</v>
      </c>
      <c r="B27">
        <v>37.33</v>
      </c>
      <c r="C27">
        <v>41.47</v>
      </c>
      <c r="D27">
        <v>110.47</v>
      </c>
      <c r="E27">
        <v>102.33</v>
      </c>
      <c r="F27">
        <v>91.63</v>
      </c>
      <c r="G27">
        <v>95.41</v>
      </c>
      <c r="H27">
        <v>144.44999999999999</v>
      </c>
      <c r="I27">
        <v>205.17</v>
      </c>
      <c r="J27">
        <v>227.02</v>
      </c>
      <c r="K27">
        <v>195.41</v>
      </c>
    </row>
    <row r="28" spans="1:11" s="6" customFormat="1" x14ac:dyDescent="0.25">
      <c r="A28" s="6" t="s">
        <v>12</v>
      </c>
      <c r="B28">
        <v>2959.54</v>
      </c>
      <c r="C28">
        <v>3138.48</v>
      </c>
      <c r="D28">
        <v>3306.1</v>
      </c>
      <c r="E28">
        <v>3629.04</v>
      </c>
      <c r="F28">
        <v>4304.3500000000004</v>
      </c>
      <c r="G28">
        <v>4187.72</v>
      </c>
      <c r="H28">
        <v>5688.83</v>
      </c>
      <c r="I28">
        <v>7347.77</v>
      </c>
      <c r="J28">
        <v>5103.07</v>
      </c>
      <c r="K28">
        <v>6003.44</v>
      </c>
    </row>
    <row r="29" spans="1:11" s="6" customFormat="1" x14ac:dyDescent="0.25">
      <c r="A29" s="6" t="s">
        <v>13</v>
      </c>
      <c r="B29">
        <v>943.29</v>
      </c>
      <c r="C29">
        <v>1040.96</v>
      </c>
      <c r="D29">
        <v>1098.06</v>
      </c>
      <c r="E29">
        <v>854.85</v>
      </c>
      <c r="F29">
        <v>1097.5999999999999</v>
      </c>
      <c r="G29">
        <v>1102.9100000000001</v>
      </c>
      <c r="H29">
        <v>1493.5</v>
      </c>
      <c r="I29">
        <v>1790.08</v>
      </c>
      <c r="J29">
        <v>1393.36</v>
      </c>
      <c r="K29">
        <v>1608.75</v>
      </c>
    </row>
    <row r="30" spans="1:11" s="6" customFormat="1" x14ac:dyDescent="0.25">
      <c r="A30" s="6" t="s">
        <v>14</v>
      </c>
      <c r="B30">
        <v>1939.43</v>
      </c>
      <c r="C30">
        <v>2038.93</v>
      </c>
      <c r="D30">
        <v>2155.92</v>
      </c>
      <c r="E30">
        <v>2705.17</v>
      </c>
      <c r="F30">
        <v>3139.29</v>
      </c>
      <c r="G30">
        <v>3030.57</v>
      </c>
      <c r="H30">
        <v>4106.45</v>
      </c>
      <c r="I30">
        <v>5460.23</v>
      </c>
      <c r="J30">
        <v>3667.23</v>
      </c>
      <c r="K30">
        <v>4325.3500000000004</v>
      </c>
    </row>
    <row r="31" spans="1:11" s="6" customFormat="1" x14ac:dyDescent="0.25">
      <c r="A31" s="6" t="s">
        <v>61</v>
      </c>
      <c r="B31">
        <v>987.98</v>
      </c>
      <c r="C31">
        <v>834.5</v>
      </c>
      <c r="D31">
        <v>1007.16</v>
      </c>
      <c r="E31">
        <v>1151.04</v>
      </c>
      <c r="F31">
        <v>1712.17</v>
      </c>
      <c r="G31">
        <v>1836.87</v>
      </c>
      <c r="H31">
        <v>2460.35</v>
      </c>
      <c r="I31">
        <v>3194.14</v>
      </c>
      <c r="J31">
        <v>2378.8200000000002</v>
      </c>
      <c r="K31">
        <v>2637.8</v>
      </c>
    </row>
    <row r="32" spans="1:11" s="6" customFormat="1" x14ac:dyDescent="0.25"/>
    <row r="33" spans="1:11" x14ac:dyDescent="0.25">
      <c r="A33" s="6"/>
    </row>
    <row r="34" spans="1:11" x14ac:dyDescent="0.25">
      <c r="A34" s="6"/>
    </row>
    <row r="35" spans="1:11" x14ac:dyDescent="0.25">
      <c r="A35" s="6"/>
    </row>
    <row r="36" spans="1:11" x14ac:dyDescent="0.25">
      <c r="A36" s="6"/>
    </row>
    <row r="37" spans="1:11" x14ac:dyDescent="0.25">
      <c r="A37" s="6"/>
    </row>
    <row r="38" spans="1:11" x14ac:dyDescent="0.25">
      <c r="A38" s="6"/>
    </row>
    <row r="39" spans="1:11" x14ac:dyDescent="0.25">
      <c r="A39" s="6"/>
    </row>
    <row r="40" spans="1:11" x14ac:dyDescent="0.25">
      <c r="A40" s="1" t="s">
        <v>39</v>
      </c>
    </row>
    <row r="41" spans="1:11" s="18" customFormat="1" x14ac:dyDescent="0.25">
      <c r="A41" s="17" t="s">
        <v>38</v>
      </c>
      <c r="B41" s="12">
        <v>45382</v>
      </c>
      <c r="C41" s="12">
        <v>45473</v>
      </c>
      <c r="D41" s="12">
        <v>45565</v>
      </c>
      <c r="E41" s="12">
        <v>45657</v>
      </c>
      <c r="F41" s="12">
        <v>45747</v>
      </c>
      <c r="G41" s="12">
        <v>45838</v>
      </c>
      <c r="H41" s="12">
        <v>45930</v>
      </c>
      <c r="I41" s="12">
        <v>46022</v>
      </c>
      <c r="J41" s="12">
        <v>46112</v>
      </c>
      <c r="K41" s="12">
        <v>46203</v>
      </c>
    </row>
    <row r="42" spans="1:11" s="6" customFormat="1" x14ac:dyDescent="0.25">
      <c r="A42" s="6" t="s">
        <v>6</v>
      </c>
      <c r="B42">
        <v>8730.76</v>
      </c>
      <c r="C42">
        <v>8969.73</v>
      </c>
      <c r="D42">
        <v>8027.54</v>
      </c>
      <c r="E42">
        <v>8549.44</v>
      </c>
      <c r="F42">
        <v>8358.91</v>
      </c>
      <c r="G42">
        <v>8938.5499999999993</v>
      </c>
      <c r="H42">
        <v>8531.27</v>
      </c>
      <c r="I42">
        <v>8867.02</v>
      </c>
      <c r="J42">
        <v>9246.7000000000007</v>
      </c>
      <c r="K42">
        <v>10541.94</v>
      </c>
    </row>
    <row r="43" spans="1:11" s="6" customFormat="1" x14ac:dyDescent="0.25">
      <c r="A43" s="6" t="s">
        <v>7</v>
      </c>
      <c r="B43">
        <v>7039.39</v>
      </c>
      <c r="C43">
        <v>7275.96</v>
      </c>
      <c r="D43">
        <v>6788.03</v>
      </c>
      <c r="E43">
        <v>6912.71</v>
      </c>
      <c r="F43">
        <v>6922.71</v>
      </c>
      <c r="G43">
        <v>7313.58</v>
      </c>
      <c r="H43">
        <v>7027.89</v>
      </c>
      <c r="I43">
        <v>7086.06</v>
      </c>
      <c r="J43">
        <v>7460.09</v>
      </c>
      <c r="K43">
        <v>8373.18</v>
      </c>
    </row>
    <row r="44" spans="1:11" s="6" customFormat="1" x14ac:dyDescent="0.25">
      <c r="A44" s="6" t="s">
        <v>9</v>
      </c>
      <c r="B44">
        <v>212.43</v>
      </c>
      <c r="C44">
        <v>192.93</v>
      </c>
      <c r="D44">
        <v>24.53</v>
      </c>
      <c r="E44">
        <v>192.82</v>
      </c>
      <c r="F44">
        <v>-60.06</v>
      </c>
      <c r="G44">
        <v>229.11</v>
      </c>
      <c r="H44">
        <v>236.94</v>
      </c>
      <c r="I44">
        <v>69.14</v>
      </c>
      <c r="J44">
        <v>196.59</v>
      </c>
      <c r="K44">
        <v>279.01</v>
      </c>
    </row>
    <row r="45" spans="1:11" s="6" customFormat="1" x14ac:dyDescent="0.25">
      <c r="A45" s="6" t="s">
        <v>10</v>
      </c>
      <c r="B45">
        <v>225.61</v>
      </c>
      <c r="C45">
        <v>227.7</v>
      </c>
      <c r="D45">
        <v>241.99</v>
      </c>
      <c r="E45">
        <v>255.55</v>
      </c>
      <c r="F45">
        <v>301.10000000000002</v>
      </c>
      <c r="G45">
        <v>300.87</v>
      </c>
      <c r="H45">
        <v>304.93</v>
      </c>
      <c r="I45">
        <v>313.07</v>
      </c>
      <c r="J45">
        <v>309.98</v>
      </c>
      <c r="K45">
        <v>304.19</v>
      </c>
    </row>
    <row r="46" spans="1:11" s="6" customFormat="1" x14ac:dyDescent="0.25">
      <c r="A46" s="6" t="s">
        <v>11</v>
      </c>
      <c r="B46">
        <v>54.1</v>
      </c>
      <c r="C46">
        <v>55.38</v>
      </c>
      <c r="D46">
        <v>63.01</v>
      </c>
      <c r="E46">
        <v>55.84</v>
      </c>
      <c r="F46">
        <v>52.79</v>
      </c>
      <c r="G46">
        <v>44.5</v>
      </c>
      <c r="H46">
        <v>43.87</v>
      </c>
      <c r="I46">
        <v>47.94</v>
      </c>
      <c r="J46">
        <v>59.1</v>
      </c>
      <c r="K46">
        <v>47.83</v>
      </c>
    </row>
    <row r="47" spans="1:11" s="6" customFormat="1" x14ac:dyDescent="0.25">
      <c r="A47" s="6" t="s">
        <v>12</v>
      </c>
      <c r="B47">
        <v>1624.09</v>
      </c>
      <c r="C47">
        <v>1603.62</v>
      </c>
      <c r="D47">
        <v>959.04</v>
      </c>
      <c r="E47">
        <v>1518.16</v>
      </c>
      <c r="F47">
        <v>1022.25</v>
      </c>
      <c r="G47">
        <v>1508.71</v>
      </c>
      <c r="H47">
        <v>1391.52</v>
      </c>
      <c r="I47">
        <v>1489.09</v>
      </c>
      <c r="J47">
        <v>1614.12</v>
      </c>
      <c r="K47">
        <v>2095.75</v>
      </c>
    </row>
    <row r="48" spans="1:11" s="6" customFormat="1" x14ac:dyDescent="0.25">
      <c r="A48" s="6" t="s">
        <v>13</v>
      </c>
      <c r="B48">
        <v>348.79</v>
      </c>
      <c r="C48">
        <v>416.83</v>
      </c>
      <c r="D48">
        <v>265.38</v>
      </c>
      <c r="E48">
        <v>389.73</v>
      </c>
      <c r="F48">
        <v>321.42</v>
      </c>
      <c r="G48">
        <v>391.66</v>
      </c>
      <c r="H48">
        <v>373.29</v>
      </c>
      <c r="I48">
        <v>415.17</v>
      </c>
      <c r="J48">
        <v>428.63</v>
      </c>
      <c r="K48">
        <v>536.29999999999995</v>
      </c>
    </row>
    <row r="49" spans="1:11" s="6" customFormat="1" x14ac:dyDescent="0.25">
      <c r="A49" s="6" t="s">
        <v>14</v>
      </c>
      <c r="B49">
        <v>1256.72</v>
      </c>
      <c r="C49">
        <v>1169.98</v>
      </c>
      <c r="D49">
        <v>694.64</v>
      </c>
      <c r="E49">
        <v>1110.48</v>
      </c>
      <c r="F49">
        <v>692.13</v>
      </c>
      <c r="G49">
        <v>1099.77</v>
      </c>
      <c r="H49">
        <v>993.59</v>
      </c>
      <c r="I49">
        <v>1059.8699999999999</v>
      </c>
      <c r="J49">
        <v>1172.1199999999999</v>
      </c>
      <c r="K49">
        <v>1539.25</v>
      </c>
    </row>
    <row r="50" spans="1:11" x14ac:dyDescent="0.25">
      <c r="A50" s="6" t="s">
        <v>8</v>
      </c>
      <c r="B50">
        <v>1691.37</v>
      </c>
      <c r="C50">
        <v>1693.77</v>
      </c>
      <c r="D50">
        <v>1239.51</v>
      </c>
      <c r="E50">
        <v>1636.73</v>
      </c>
      <c r="F50">
        <v>1436.2</v>
      </c>
      <c r="G50">
        <v>1624.97</v>
      </c>
      <c r="H50">
        <v>1503.38</v>
      </c>
      <c r="I50">
        <v>1780.96</v>
      </c>
      <c r="J50">
        <v>1786.61</v>
      </c>
      <c r="K50">
        <v>2168.7600000000002</v>
      </c>
    </row>
    <row r="51" spans="1:11" x14ac:dyDescent="0.25">
      <c r="A51" s="6"/>
    </row>
    <row r="52" spans="1:11" x14ac:dyDescent="0.25">
      <c r="A52" s="6"/>
    </row>
    <row r="53" spans="1:11" x14ac:dyDescent="0.25">
      <c r="A53" s="6"/>
    </row>
    <row r="54" spans="1:11" x14ac:dyDescent="0.25">
      <c r="A54" s="6"/>
    </row>
    <row r="55" spans="1:11" x14ac:dyDescent="0.25">
      <c r="A55" s="1" t="s">
        <v>40</v>
      </c>
    </row>
    <row r="56" spans="1:11" s="18" customFormat="1" x14ac:dyDescent="0.25">
      <c r="A56" s="17" t="s">
        <v>38</v>
      </c>
      <c r="B56" s="12">
        <v>42825</v>
      </c>
      <c r="C56" s="12">
        <v>43190</v>
      </c>
      <c r="D56" s="12">
        <v>43555</v>
      </c>
      <c r="E56" s="12">
        <v>43921</v>
      </c>
      <c r="F56" s="12">
        <v>44286</v>
      </c>
      <c r="G56" s="12">
        <v>44651</v>
      </c>
      <c r="H56" s="12">
        <v>45016</v>
      </c>
      <c r="I56" s="12">
        <v>45382</v>
      </c>
      <c r="J56" s="12">
        <v>45747</v>
      </c>
      <c r="K56" s="12">
        <v>46112</v>
      </c>
    </row>
    <row r="57" spans="1:11" x14ac:dyDescent="0.25">
      <c r="A57" s="6" t="s">
        <v>24</v>
      </c>
      <c r="B57">
        <v>95.92</v>
      </c>
      <c r="C57">
        <v>95.92</v>
      </c>
      <c r="D57">
        <v>95.92</v>
      </c>
      <c r="E57">
        <v>95.92</v>
      </c>
      <c r="F57">
        <v>95.92</v>
      </c>
      <c r="G57">
        <v>95.92</v>
      </c>
      <c r="H57">
        <v>95.92</v>
      </c>
      <c r="I57">
        <v>95.92</v>
      </c>
      <c r="J57">
        <v>95.92</v>
      </c>
      <c r="K57">
        <v>95.92</v>
      </c>
    </row>
    <row r="58" spans="1:11" x14ac:dyDescent="0.25">
      <c r="A58" s="6" t="s">
        <v>25</v>
      </c>
      <c r="B58">
        <v>7507.97</v>
      </c>
      <c r="C58">
        <v>8314.31</v>
      </c>
      <c r="D58">
        <v>9374.6299999999992</v>
      </c>
      <c r="E58">
        <v>10034.24</v>
      </c>
      <c r="F58">
        <v>12710.37</v>
      </c>
      <c r="G58">
        <v>13715.64</v>
      </c>
      <c r="H58">
        <v>15896.31</v>
      </c>
      <c r="I58">
        <v>18632.38</v>
      </c>
      <c r="J58">
        <v>19303.89</v>
      </c>
      <c r="K58">
        <v>21275.67</v>
      </c>
    </row>
    <row r="59" spans="1:11" x14ac:dyDescent="0.25">
      <c r="A59" s="6" t="s">
        <v>62</v>
      </c>
      <c r="B59">
        <v>560.34</v>
      </c>
      <c r="C59">
        <v>533.42999999999995</v>
      </c>
      <c r="D59">
        <v>1319.6</v>
      </c>
      <c r="E59">
        <v>1118.5</v>
      </c>
      <c r="F59">
        <v>1093.1199999999999</v>
      </c>
      <c r="G59">
        <v>1586.88</v>
      </c>
      <c r="H59">
        <v>1932.62</v>
      </c>
      <c r="I59">
        <v>2474.38</v>
      </c>
      <c r="J59">
        <v>2290.29</v>
      </c>
      <c r="K59">
        <v>3928.93</v>
      </c>
    </row>
    <row r="60" spans="1:11" x14ac:dyDescent="0.25">
      <c r="A60" s="6" t="s">
        <v>63</v>
      </c>
      <c r="B60">
        <v>4240.96</v>
      </c>
      <c r="C60">
        <v>4819.82</v>
      </c>
      <c r="D60">
        <v>5458.69</v>
      </c>
      <c r="E60">
        <v>4889.3100000000004</v>
      </c>
      <c r="F60">
        <v>6455.93</v>
      </c>
      <c r="G60">
        <v>7559.99</v>
      </c>
      <c r="H60">
        <v>7854.48</v>
      </c>
      <c r="I60">
        <v>8698.09</v>
      </c>
      <c r="J60">
        <v>8665.15</v>
      </c>
      <c r="K60">
        <v>9218.23</v>
      </c>
    </row>
    <row r="61" spans="1:11" s="1" customFormat="1" x14ac:dyDescent="0.25">
      <c r="A61" s="1" t="s">
        <v>26</v>
      </c>
      <c r="B61">
        <v>12405.19</v>
      </c>
      <c r="C61">
        <v>13763.48</v>
      </c>
      <c r="D61">
        <v>16248.84</v>
      </c>
      <c r="E61">
        <v>16137.97</v>
      </c>
      <c r="F61">
        <v>20355.34</v>
      </c>
      <c r="G61">
        <v>22958.43</v>
      </c>
      <c r="H61">
        <v>25779.33</v>
      </c>
      <c r="I61">
        <v>29900.77</v>
      </c>
      <c r="J61">
        <v>30355.25</v>
      </c>
      <c r="K61">
        <v>34518.75</v>
      </c>
    </row>
    <row r="62" spans="1:11" x14ac:dyDescent="0.25">
      <c r="A62" s="6" t="s">
        <v>27</v>
      </c>
      <c r="B62">
        <v>3303.74</v>
      </c>
      <c r="C62">
        <v>3732.24</v>
      </c>
      <c r="D62">
        <v>6496.56</v>
      </c>
      <c r="E62">
        <v>6272.31</v>
      </c>
      <c r="F62">
        <v>5858.52</v>
      </c>
      <c r="G62">
        <v>5519.06</v>
      </c>
      <c r="H62">
        <v>5770.46</v>
      </c>
      <c r="I62">
        <v>7146.62</v>
      </c>
      <c r="J62">
        <v>9220.1</v>
      </c>
      <c r="K62">
        <v>9640.2800000000007</v>
      </c>
    </row>
    <row r="63" spans="1:11" x14ac:dyDescent="0.25">
      <c r="A63" s="6" t="s">
        <v>28</v>
      </c>
      <c r="B63">
        <v>257.54000000000002</v>
      </c>
      <c r="C63">
        <v>1405.11</v>
      </c>
      <c r="D63">
        <v>209.67</v>
      </c>
      <c r="E63">
        <v>140.24</v>
      </c>
      <c r="F63">
        <v>182.98</v>
      </c>
      <c r="G63">
        <v>426.43</v>
      </c>
      <c r="H63">
        <v>1019.59</v>
      </c>
      <c r="I63">
        <v>2698.37</v>
      </c>
      <c r="J63">
        <v>1254.49</v>
      </c>
      <c r="K63">
        <v>1848.67</v>
      </c>
    </row>
    <row r="64" spans="1:11" x14ac:dyDescent="0.25">
      <c r="A64" s="6" t="s">
        <v>29</v>
      </c>
      <c r="B64">
        <v>2651.99</v>
      </c>
      <c r="C64">
        <v>2140.6999999999998</v>
      </c>
      <c r="D64">
        <v>2568.58</v>
      </c>
      <c r="E64">
        <v>2018.85</v>
      </c>
      <c r="F64">
        <v>4736.8</v>
      </c>
      <c r="G64">
        <v>3247.53</v>
      </c>
      <c r="H64">
        <v>4261.71</v>
      </c>
      <c r="I64">
        <v>4587.92</v>
      </c>
      <c r="J64">
        <v>4724.75</v>
      </c>
      <c r="K64">
        <v>7061.74</v>
      </c>
    </row>
    <row r="65" spans="1:11" x14ac:dyDescent="0.25">
      <c r="A65" s="6" t="s">
        <v>64</v>
      </c>
      <c r="B65">
        <v>6191.92</v>
      </c>
      <c r="C65">
        <v>6485.43</v>
      </c>
      <c r="D65">
        <v>6974.03</v>
      </c>
      <c r="E65">
        <v>7706.57</v>
      </c>
      <c r="F65">
        <v>9577.0400000000009</v>
      </c>
      <c r="G65">
        <v>13765.41</v>
      </c>
      <c r="H65">
        <v>14727.57</v>
      </c>
      <c r="I65">
        <v>15467.86</v>
      </c>
      <c r="J65">
        <v>15155.91</v>
      </c>
      <c r="K65">
        <v>15968.06</v>
      </c>
    </row>
    <row r="66" spans="1:11" s="1" customFormat="1" x14ac:dyDescent="0.25">
      <c r="A66" s="1" t="s">
        <v>26</v>
      </c>
      <c r="B66">
        <v>12405.19</v>
      </c>
      <c r="C66">
        <v>13763.48</v>
      </c>
      <c r="D66">
        <v>16248.84</v>
      </c>
      <c r="E66">
        <v>16137.97</v>
      </c>
      <c r="F66">
        <v>20355.34</v>
      </c>
      <c r="G66">
        <v>22958.43</v>
      </c>
      <c r="H66">
        <v>25779.33</v>
      </c>
      <c r="I66">
        <v>29900.77</v>
      </c>
      <c r="J66">
        <v>30355.25</v>
      </c>
      <c r="K66">
        <v>34518.75</v>
      </c>
    </row>
    <row r="67" spans="1:11" s="6" customFormat="1" x14ac:dyDescent="0.25">
      <c r="A67" s="6" t="s">
        <v>69</v>
      </c>
      <c r="B67">
        <v>1446.6</v>
      </c>
      <c r="C67">
        <v>1730.63</v>
      </c>
      <c r="D67">
        <v>1907.33</v>
      </c>
      <c r="E67">
        <v>1795.22</v>
      </c>
      <c r="F67">
        <v>2602.17</v>
      </c>
      <c r="G67">
        <v>3871.44</v>
      </c>
      <c r="H67">
        <v>4636.9399999999996</v>
      </c>
      <c r="I67">
        <v>4889.05</v>
      </c>
      <c r="J67">
        <v>4313.6499999999996</v>
      </c>
      <c r="K67">
        <v>4461.8</v>
      </c>
    </row>
    <row r="68" spans="1:11" x14ac:dyDescent="0.25">
      <c r="A68" s="6" t="s">
        <v>45</v>
      </c>
      <c r="B68">
        <v>2626.94</v>
      </c>
      <c r="C68">
        <v>2658.31</v>
      </c>
      <c r="D68">
        <v>3149.86</v>
      </c>
      <c r="E68">
        <v>3389.81</v>
      </c>
      <c r="F68">
        <v>3798.6</v>
      </c>
      <c r="G68">
        <v>6152.98</v>
      </c>
      <c r="H68">
        <v>6210.64</v>
      </c>
      <c r="I68">
        <v>5923.41</v>
      </c>
      <c r="J68">
        <v>6719.27</v>
      </c>
      <c r="K68">
        <v>5743.69</v>
      </c>
    </row>
    <row r="69" spans="1:11" x14ac:dyDescent="0.25">
      <c r="A69" s="4" t="s">
        <v>78</v>
      </c>
      <c r="B69">
        <v>801.21</v>
      </c>
      <c r="C69">
        <v>404.65</v>
      </c>
      <c r="D69">
        <v>444.88</v>
      </c>
      <c r="E69">
        <v>782.83</v>
      </c>
      <c r="F69">
        <v>610.75</v>
      </c>
      <c r="G69">
        <v>864.33</v>
      </c>
      <c r="H69">
        <v>843.82</v>
      </c>
      <c r="I69">
        <v>1084.01</v>
      </c>
      <c r="J69">
        <v>781.98</v>
      </c>
      <c r="K69">
        <v>1073.68</v>
      </c>
    </row>
    <row r="70" spans="1:11" x14ac:dyDescent="0.25">
      <c r="A70" s="4" t="s">
        <v>65</v>
      </c>
      <c r="B70">
        <v>959197790</v>
      </c>
      <c r="C70">
        <v>959197790</v>
      </c>
      <c r="D70">
        <v>959197790</v>
      </c>
      <c r="E70">
        <v>959197790</v>
      </c>
      <c r="F70">
        <v>959197790</v>
      </c>
      <c r="G70">
        <v>959197790</v>
      </c>
      <c r="H70">
        <v>959197790</v>
      </c>
      <c r="I70">
        <v>959197790</v>
      </c>
      <c r="J70">
        <v>959197790</v>
      </c>
      <c r="K70">
        <v>959197790</v>
      </c>
    </row>
    <row r="71" spans="1:11" x14ac:dyDescent="0.25">
      <c r="A71" s="4" t="s">
        <v>66</v>
      </c>
    </row>
    <row r="72" spans="1:11" x14ac:dyDescent="0.25">
      <c r="A72" s="4" t="s">
        <v>79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</row>
    <row r="74" spans="1:11" x14ac:dyDescent="0.25">
      <c r="A74" s="6"/>
    </row>
    <row r="75" spans="1:11" x14ac:dyDescent="0.25">
      <c r="A75" s="6"/>
    </row>
    <row r="76" spans="1:11" x14ac:dyDescent="0.25">
      <c r="A76" s="6"/>
    </row>
    <row r="77" spans="1:11" x14ac:dyDescent="0.25">
      <c r="A77" s="6"/>
    </row>
    <row r="78" spans="1:11" x14ac:dyDescent="0.25">
      <c r="A78" s="6"/>
    </row>
    <row r="79" spans="1:11" x14ac:dyDescent="0.25">
      <c r="A79" s="6"/>
    </row>
    <row r="80" spans="1:11" x14ac:dyDescent="0.25">
      <c r="A80" s="1" t="s">
        <v>41</v>
      </c>
    </row>
    <row r="81" spans="1:11" s="18" customFormat="1" x14ac:dyDescent="0.25">
      <c r="A81" s="17" t="s">
        <v>38</v>
      </c>
      <c r="B81" s="12">
        <v>42825</v>
      </c>
      <c r="C81" s="12">
        <v>43190</v>
      </c>
      <c r="D81" s="12">
        <v>43555</v>
      </c>
      <c r="E81" s="12">
        <v>43921</v>
      </c>
      <c r="F81" s="12">
        <v>44286</v>
      </c>
      <c r="G81" s="12">
        <v>44651</v>
      </c>
      <c r="H81" s="12">
        <v>45016</v>
      </c>
      <c r="I81" s="12">
        <v>45382</v>
      </c>
      <c r="J81" s="12">
        <v>45747</v>
      </c>
      <c r="K81" s="12">
        <v>46112</v>
      </c>
    </row>
    <row r="82" spans="1:11" s="1" customFormat="1" x14ac:dyDescent="0.25">
      <c r="A82" s="6" t="s">
        <v>32</v>
      </c>
      <c r="B82">
        <v>1527.33</v>
      </c>
      <c r="C82">
        <v>2113.44</v>
      </c>
      <c r="D82">
        <v>2469.54</v>
      </c>
      <c r="E82">
        <v>3038.15</v>
      </c>
      <c r="F82">
        <v>3683.35</v>
      </c>
      <c r="G82">
        <v>986.49</v>
      </c>
      <c r="H82">
        <v>4193.43</v>
      </c>
      <c r="I82">
        <v>6103.6</v>
      </c>
      <c r="J82">
        <v>4423.96</v>
      </c>
      <c r="K82">
        <v>7088.18</v>
      </c>
    </row>
    <row r="83" spans="1:11" s="6" customFormat="1" x14ac:dyDescent="0.25">
      <c r="A83" s="6" t="s">
        <v>33</v>
      </c>
      <c r="B83">
        <v>-681.11</v>
      </c>
      <c r="C83">
        <v>-1556.14</v>
      </c>
      <c r="D83">
        <v>-917.79</v>
      </c>
      <c r="E83">
        <v>-517.91</v>
      </c>
      <c r="F83">
        <v>-540.54</v>
      </c>
      <c r="G83">
        <v>-316.75</v>
      </c>
      <c r="H83">
        <v>-1282.3399999999999</v>
      </c>
      <c r="I83">
        <v>-2548.48</v>
      </c>
      <c r="J83">
        <v>-940.91</v>
      </c>
      <c r="K83">
        <v>-1328.23</v>
      </c>
    </row>
    <row r="84" spans="1:11" s="6" customFormat="1" x14ac:dyDescent="0.25">
      <c r="A84" s="6" t="s">
        <v>34</v>
      </c>
      <c r="B84">
        <v>-756.43</v>
      </c>
      <c r="C84">
        <v>-1379.14</v>
      </c>
      <c r="D84">
        <v>-1117.46</v>
      </c>
      <c r="E84">
        <v>-2871.46</v>
      </c>
      <c r="F84">
        <v>-650.4</v>
      </c>
      <c r="G84">
        <v>-1807.61</v>
      </c>
      <c r="H84">
        <v>-2140.0500000000002</v>
      </c>
      <c r="I84">
        <v>-2982.5</v>
      </c>
      <c r="J84">
        <v>-3752.58</v>
      </c>
      <c r="K84">
        <v>-2376.5100000000002</v>
      </c>
    </row>
    <row r="85" spans="1:11" s="1" customFormat="1" x14ac:dyDescent="0.25">
      <c r="A85" s="6" t="s">
        <v>35</v>
      </c>
      <c r="B85">
        <v>89.79</v>
      </c>
      <c r="C85">
        <v>-821.84</v>
      </c>
      <c r="D85">
        <v>434.29</v>
      </c>
      <c r="E85">
        <v>-351.22</v>
      </c>
      <c r="F85">
        <v>2492.41</v>
      </c>
      <c r="G85">
        <v>-1137.8699999999999</v>
      </c>
      <c r="H85">
        <v>771.04</v>
      </c>
      <c r="I85">
        <v>572.62</v>
      </c>
      <c r="J85">
        <v>-269.52999999999997</v>
      </c>
      <c r="K85">
        <v>3383.44</v>
      </c>
    </row>
    <row r="86" spans="1:11" x14ac:dyDescent="0.25">
      <c r="A86" s="6"/>
    </row>
    <row r="87" spans="1:11" x14ac:dyDescent="0.25">
      <c r="A87" s="6"/>
    </row>
    <row r="88" spans="1:11" x14ac:dyDescent="0.25">
      <c r="A88" s="6"/>
    </row>
    <row r="89" spans="1:11" x14ac:dyDescent="0.25">
      <c r="A89" s="6"/>
    </row>
    <row r="90" spans="1:11" s="1" customFormat="1" x14ac:dyDescent="0.25">
      <c r="A90" s="1" t="s">
        <v>68</v>
      </c>
      <c r="B90">
        <v>1073.5</v>
      </c>
      <c r="C90">
        <v>1120.4000000000001</v>
      </c>
      <c r="D90">
        <v>1492.7</v>
      </c>
      <c r="E90">
        <v>1666.5</v>
      </c>
      <c r="F90">
        <v>2537.4</v>
      </c>
      <c r="G90">
        <v>3079.95</v>
      </c>
      <c r="H90">
        <v>2761.65</v>
      </c>
      <c r="I90">
        <v>2846.75</v>
      </c>
      <c r="J90">
        <v>2340.65</v>
      </c>
      <c r="K90">
        <v>2165.1999999999998</v>
      </c>
    </row>
    <row r="92" spans="1:11" s="1" customFormat="1" x14ac:dyDescent="0.25">
      <c r="A92" s="1" t="s">
        <v>67</v>
      </c>
    </row>
    <row r="93" spans="1:11" x14ac:dyDescent="0.25">
      <c r="A93" s="4" t="s">
        <v>80</v>
      </c>
      <c r="B93" s="20">
        <v>95.92</v>
      </c>
      <c r="C93" s="20">
        <v>95.92</v>
      </c>
      <c r="D93" s="20">
        <v>95.92</v>
      </c>
      <c r="E93" s="20">
        <v>95.92</v>
      </c>
      <c r="F93" s="20">
        <v>95.92</v>
      </c>
      <c r="G93" s="20">
        <v>95.92</v>
      </c>
      <c r="H93" s="20">
        <v>95.92</v>
      </c>
      <c r="I93" s="20">
        <v>95.92</v>
      </c>
      <c r="J93" s="20">
        <v>95.92</v>
      </c>
      <c r="K93" s="20">
        <v>95.92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Analysis</vt:lpstr>
      <vt:lpstr>Cash Flow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Devansh goel</cp:lastModifiedBy>
  <cp:lastPrinted>2026-10-03T11:15:36Z</cp:lastPrinted>
  <dcterms:created xsi:type="dcterms:W3CDTF">2012-08-17T09:55:37Z</dcterms:created>
  <dcterms:modified xsi:type="dcterms:W3CDTF">2026-10-04T10:54:56Z</dcterms:modified>
</cp:coreProperties>
</file>